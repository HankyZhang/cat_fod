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版" sheetId="1" state="visible" r:id="rId1"/>
    <sheet name="B版" sheetId="2" state="visible" r:id="rId2"/>
    <sheet name="C版" sheetId="3" state="visible" r:id="rId3"/>
    <sheet name="营养矩阵(参考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00"/>
    <numFmt numFmtId="167" formatCode="0.0"/>
    <numFmt numFmtId="168" formatCode="0.###"/>
  </numFmts>
  <fonts count="8">
    <font>
      <name val="Calibri"/>
      <family val="2"/>
      <color theme="1"/>
      <sz val="11"/>
      <scheme val="minor"/>
    </font>
    <font>
      <name val="微软雅黑"/>
      <b val="1"/>
      <sz val="14"/>
    </font>
    <font>
      <name val="微软雅黑"/>
      <color rgb="00666666"/>
      <sz val="10"/>
    </font>
    <font>
      <name val="微软雅黑"/>
      <b val="1"/>
      <color rgb="00C00000"/>
      <sz val="11"/>
    </font>
    <font>
      <name val="微软雅黑"/>
      <b val="1"/>
      <sz val="13"/>
    </font>
    <font>
      <name val="微软雅黑"/>
      <b val="1"/>
    </font>
    <font>
      <name val="微软雅黑"/>
      <b val="1"/>
      <color rgb="00FFFFFF"/>
      <sz val="11"/>
    </font>
    <font>
      <name val="微软雅黑"/>
      <b val="1"/>
      <sz val="1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1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A版：7%鸡皮基础版</t>
        </is>
      </c>
    </row>
    <row r="2">
      <c r="A2" s="2" t="inlineStr">
        <is>
          <t>基于 NRC 2006 · 鲅鱼体系 · 每批额外补1粒VD3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3168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0.2803</v>
      </c>
      <c r="C8" s="9" t="n">
        <v>888</v>
      </c>
      <c r="D8" s="10">
        <f>ROUND(B5*0.2803030303030303,0)</f>
        <v/>
      </c>
    </row>
    <row r="9">
      <c r="A9" s="7" t="inlineStr">
        <is>
          <t>猪瘦肉</t>
        </is>
      </c>
      <c r="B9" s="8" t="n">
        <v>0.1894</v>
      </c>
      <c r="C9" s="9" t="n">
        <v>600</v>
      </c>
      <c r="D9" s="10">
        <f>ROUND(B5*0.1893939393939394,0)</f>
        <v/>
      </c>
    </row>
    <row r="10">
      <c r="A10" s="7" t="inlineStr">
        <is>
          <t>鸡心</t>
        </is>
      </c>
      <c r="B10" s="8" t="n">
        <v>0.1294</v>
      </c>
      <c r="C10" s="9" t="n">
        <v>410</v>
      </c>
      <c r="D10" s="10">
        <f>ROUND(B5*0.1294191919191919,0)</f>
        <v/>
      </c>
    </row>
    <row r="11">
      <c r="A11" s="7" t="inlineStr">
        <is>
          <t>牛心</t>
        </is>
      </c>
      <c r="B11" s="8" t="n">
        <v>0.1405</v>
      </c>
      <c r="C11" s="9" t="n">
        <v>445</v>
      </c>
      <c r="D11" s="10">
        <f>ROUND(B5*0.1404671717171717,0)</f>
        <v/>
      </c>
    </row>
    <row r="12">
      <c r="A12" s="7" t="inlineStr">
        <is>
          <t>鸡蛋</t>
        </is>
      </c>
      <c r="B12" s="8" t="n">
        <v>0.08019999999999999</v>
      </c>
      <c r="C12" s="9" t="n">
        <v>254</v>
      </c>
      <c r="D12" s="10">
        <f>ROUND(B5*0.08017676767676768,0)</f>
        <v/>
      </c>
    </row>
    <row r="13">
      <c r="A13" s="7" t="inlineStr">
        <is>
          <t>鸡肝</t>
        </is>
      </c>
      <c r="B13" s="8" t="n">
        <v>0.0401</v>
      </c>
      <c r="C13" s="9" t="n">
        <v>127</v>
      </c>
      <c r="D13" s="10">
        <f>ROUND(B5*0.04008838383838384,0)</f>
        <v/>
      </c>
    </row>
    <row r="14">
      <c r="A14" s="7" t="inlineStr">
        <is>
          <t>牛肝</t>
        </is>
      </c>
      <c r="B14" s="8" t="n">
        <v>0.03</v>
      </c>
      <c r="C14" s="9" t="n">
        <v>95</v>
      </c>
      <c r="D14" s="10">
        <f>ROUND(B5*0.029987373737373736,0)</f>
        <v/>
      </c>
    </row>
    <row r="15">
      <c r="A15" s="7" t="inlineStr">
        <is>
          <t>鲅鱼</t>
        </is>
      </c>
      <c r="B15" s="8" t="n">
        <v>0.0401</v>
      </c>
      <c r="C15" s="9" t="n">
        <v>127</v>
      </c>
      <c r="D15" s="10">
        <f>ROUND(B5*0.04008838383838384,0)</f>
        <v/>
      </c>
    </row>
    <row r="16">
      <c r="A16" s="7" t="inlineStr">
        <is>
          <t>鸡皮</t>
        </is>
      </c>
      <c r="B16" s="8" t="n">
        <v>0.0701</v>
      </c>
      <c r="C16" s="9" t="n">
        <v>222</v>
      </c>
      <c r="D16" s="10">
        <f>ROUND(B5*0.07007575757575757,0)</f>
        <v/>
      </c>
    </row>
    <row r="17">
      <c r="A17" s="7" t="inlineStr">
        <is>
          <t>鸭胸</t>
        </is>
      </c>
      <c r="B17" s="8" t="n">
        <v>0</v>
      </c>
      <c r="C17" s="9" t="n">
        <v>0</v>
      </c>
      <c r="D17" s="10">
        <f>ROUND(B5*0.0,0)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D8/100*119+D9/100*143+D10/100*153+D11/100*112+D12/100*143+D13/100*119+D14/100*135+D15/100*139+D16/100*349+D17/100*135+90*B5/3168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ROUND(18.0*B5/3168,1)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ROUND(3.0*B5/3168,1)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ROUND(10.0*B5/3168,1)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ROUND(1.0*B5/3168,1)</f>
        <v/>
      </c>
    </row>
    <row r="31">
      <c r="A31" s="7" t="inlineStr">
        <is>
          <t>维生素E 100IU×8</t>
        </is>
      </c>
      <c r="B31" s="7" t="inlineStr">
        <is>
          <t>8粒</t>
        </is>
      </c>
      <c r="C31" s="15">
        <f>ROUND(8.0*B5/3168,1)</f>
        <v/>
      </c>
    </row>
    <row r="32">
      <c r="A32" s="7" t="inlineStr">
        <is>
          <t>维生素B族 B-50</t>
        </is>
      </c>
      <c r="B32" s="7" t="inlineStr">
        <is>
          <t>2片</t>
        </is>
      </c>
      <c r="C32" s="15">
        <f>ROUND(2.0*B5/3168,1)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ROUND(7.0*B5/3168,1)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ROUND(3.0*B5/3168,1)</f>
        <v/>
      </c>
    </row>
    <row r="35">
      <c r="A35" s="7" t="inlineStr">
        <is>
          <t>锌片 30mg</t>
        </is>
      </c>
      <c r="B35" s="7" t="inlineStr">
        <is>
          <t>1粒</t>
        </is>
      </c>
      <c r="C35" s="15">
        <f>ROUND(1.0*B5/3168,1)</f>
        <v/>
      </c>
    </row>
    <row r="36">
      <c r="A36" s="7" t="inlineStr">
        <is>
          <t>螯合铁 36mg</t>
        </is>
      </c>
      <c r="B36" s="7" t="inlineStr">
        <is>
          <t>1粒</t>
        </is>
      </c>
      <c r="C36" s="15">
        <f>ROUND(1.0*B5/3168,1)</f>
        <v/>
      </c>
    </row>
    <row r="37">
      <c r="A37" s="7" t="inlineStr">
        <is>
          <t>锰片 10mg</t>
        </is>
      </c>
      <c r="B37" s="7" t="inlineStr">
        <is>
          <t>1粒</t>
        </is>
      </c>
      <c r="C37" s="15">
        <f>ROUND(1.0*B5/3168,1)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ROUND(7207.2*B5/3168,1)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ROUND(1180.2*B5/3168,1)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ROUND(1819.8000000000002*B5/3168,1)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ROUND(36*B5/3168,1)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ROUND(30*B5/3168,1)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ROUND(10*B5/3168,1)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ROUND(1650*B5/3168,1)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ROUND(3000*B5/3168,1)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D8/100*50+D9/100*7+D10/100*31+D12/100*520+D13/100*11078+D14/100*16898+D15/100*98+D16/100*150+D17/100*24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D8/100*5+D9/100*12+D12/100*82+D13/100*12+D14/100*49+D15/100*16</f>
        <v/>
      </c>
      <c r="C58" s="13">
        <f>ROUND(1000*B5/3168,1)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ROUND(536.88*B5/3168,1)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ROUND(100*B5/3168,1)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ROUND(100*B5/3168,1)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ROUND(100*B5/3168,1)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ROUND(100*B5/3168,1)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ROUND(100*B5/3168,1)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D8/100*6+D9/100*1+D10/100*72+D11/100*3+D12/100*47+D13/100*588+D14/100*290+D15/100*2+D16/100*1+D17/100*5</f>
        <v/>
      </c>
      <c r="C66" s="13">
        <f>ROUND(800*B5/3168,1)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D8/100*1.01+D9/100*0.6+D10/100*2.51+D11/100*2.25+D12/100*1.53+D13/100*6.5+D14/100*7.17+D15/100*0.42+D16/100*0.53+D17/100*1.03</f>
        <v/>
      </c>
      <c r="C67" s="13">
        <f>ROUND(100*B5/3168,1)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ROUND(3000*B5/3168,1)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B版：7%鸡皮+鸭胸版</t>
        </is>
      </c>
    </row>
    <row r="2">
      <c r="A2" s="2" t="inlineStr">
        <is>
          <t>基于 NRC 2006 · 鲅鱼体系 · 每批额外补1粒VD3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3168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0.09089999999999999</v>
      </c>
      <c r="C8" s="9" t="n">
        <v>288</v>
      </c>
      <c r="D8" s="10">
        <f>ROUND(B5*0.09090909090909091,0)</f>
        <v/>
      </c>
    </row>
    <row r="9">
      <c r="A9" s="7" t="inlineStr">
        <is>
          <t>猪瘦肉</t>
        </is>
      </c>
      <c r="B9" s="8" t="n">
        <v>0.1894</v>
      </c>
      <c r="C9" s="9" t="n">
        <v>600</v>
      </c>
      <c r="D9" s="10">
        <f>ROUND(B5*0.1893939393939394,0)</f>
        <v/>
      </c>
    </row>
    <row r="10">
      <c r="A10" s="7" t="inlineStr">
        <is>
          <t>鸡心</t>
        </is>
      </c>
      <c r="B10" s="8" t="n">
        <v>0.1294</v>
      </c>
      <c r="C10" s="9" t="n">
        <v>410</v>
      </c>
      <c r="D10" s="10">
        <f>ROUND(B5*0.1294191919191919,0)</f>
        <v/>
      </c>
    </row>
    <row r="11">
      <c r="A11" s="7" t="inlineStr">
        <is>
          <t>牛心</t>
        </is>
      </c>
      <c r="B11" s="8" t="n">
        <v>0.1405</v>
      </c>
      <c r="C11" s="9" t="n">
        <v>445</v>
      </c>
      <c r="D11" s="10">
        <f>ROUND(B5*0.1404671717171717,0)</f>
        <v/>
      </c>
    </row>
    <row r="12">
      <c r="A12" s="7" t="inlineStr">
        <is>
          <t>鸡蛋</t>
        </is>
      </c>
      <c r="B12" s="8" t="n">
        <v>0.08019999999999999</v>
      </c>
      <c r="C12" s="9" t="n">
        <v>254</v>
      </c>
      <c r="D12" s="10">
        <f>ROUND(B5*0.08017676767676768,0)</f>
        <v/>
      </c>
    </row>
    <row r="13">
      <c r="A13" s="7" t="inlineStr">
        <is>
          <t>鸡肝</t>
        </is>
      </c>
      <c r="B13" s="8" t="n">
        <v>0.0401</v>
      </c>
      <c r="C13" s="9" t="n">
        <v>127</v>
      </c>
      <c r="D13" s="10">
        <f>ROUND(B5*0.04008838383838384,0)</f>
        <v/>
      </c>
    </row>
    <row r="14">
      <c r="A14" s="7" t="inlineStr">
        <is>
          <t>牛肝</t>
        </is>
      </c>
      <c r="B14" s="8" t="n">
        <v>0.03</v>
      </c>
      <c r="C14" s="9" t="n">
        <v>95</v>
      </c>
      <c r="D14" s="10">
        <f>ROUND(B5*0.029987373737373736,0)</f>
        <v/>
      </c>
    </row>
    <row r="15">
      <c r="A15" s="7" t="inlineStr">
        <is>
          <t>鲅鱼</t>
        </is>
      </c>
      <c r="B15" s="8" t="n">
        <v>0.0401</v>
      </c>
      <c r="C15" s="9" t="n">
        <v>127</v>
      </c>
      <c r="D15" s="10">
        <f>ROUND(B5*0.04008838383838384,0)</f>
        <v/>
      </c>
    </row>
    <row r="16">
      <c r="A16" s="7" t="inlineStr">
        <is>
          <t>鸡皮</t>
        </is>
      </c>
      <c r="B16" s="8" t="n">
        <v>0.0701</v>
      </c>
      <c r="C16" s="9" t="n">
        <v>222</v>
      </c>
      <c r="D16" s="10">
        <f>ROUND(B5*0.07007575757575757,0)</f>
        <v/>
      </c>
    </row>
    <row r="17">
      <c r="A17" s="7" t="inlineStr">
        <is>
          <t>鸭胸</t>
        </is>
      </c>
      <c r="B17" s="8" t="n">
        <v>0.1894</v>
      </c>
      <c r="C17" s="9" t="n">
        <v>600</v>
      </c>
      <c r="D17" s="10">
        <f>ROUND(B5*0.1893939393939394,0)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D8/100*119+D9/100*143+D10/100*153+D11/100*112+D12/100*143+D13/100*119+D14/100*135+D15/100*139+D16/100*349+D17/100*135+90*B5/3168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ROUND(18.0*B5/3168,1)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ROUND(3.0*B5/3168,1)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ROUND(10.0*B5/3168,1)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ROUND(1.0*B5/3168,1)</f>
        <v/>
      </c>
    </row>
    <row r="31">
      <c r="A31" s="7" t="inlineStr">
        <is>
          <t>维生素E 100IU×8</t>
        </is>
      </c>
      <c r="B31" s="7" t="inlineStr">
        <is>
          <t>8粒</t>
        </is>
      </c>
      <c r="C31" s="15">
        <f>ROUND(8.0*B5/3168,1)</f>
        <v/>
      </c>
    </row>
    <row r="32">
      <c r="A32" s="7" t="inlineStr">
        <is>
          <t>维生素B族 B-50</t>
        </is>
      </c>
      <c r="B32" s="7" t="inlineStr">
        <is>
          <t>2片</t>
        </is>
      </c>
      <c r="C32" s="15">
        <f>ROUND(2.0*B5/3168,1)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ROUND(7.0*B5/3168,1)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ROUND(3.0*B5/3168,1)</f>
        <v/>
      </c>
    </row>
    <row r="35">
      <c r="A35" s="7" t="inlineStr">
        <is>
          <t>锌片 30mg</t>
        </is>
      </c>
      <c r="B35" s="7" t="inlineStr">
        <is>
          <t>1粒</t>
        </is>
      </c>
      <c r="C35" s="15">
        <f>ROUND(1.0*B5/3168,1)</f>
        <v/>
      </c>
    </row>
    <row r="36">
      <c r="A36" s="7" t="inlineStr">
        <is>
          <t>螯合铁 36mg</t>
        </is>
      </c>
      <c r="B36" s="7" t="inlineStr">
        <is>
          <t>1粒</t>
        </is>
      </c>
      <c r="C36" s="15">
        <f>ROUND(1.0*B5/3168,1)</f>
        <v/>
      </c>
    </row>
    <row r="37">
      <c r="A37" s="7" t="inlineStr">
        <is>
          <t>锰片 10mg</t>
        </is>
      </c>
      <c r="B37" s="7" t="inlineStr">
        <is>
          <t>1粒</t>
        </is>
      </c>
      <c r="C37" s="15">
        <f>ROUND(1.0*B5/3168,1)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ROUND(7207.2*B5/3168,1)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ROUND(1180.2*B5/3168,1)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ROUND(1819.8000000000002*B5/3168,1)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ROUND(36*B5/3168,1)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ROUND(30*B5/3168,1)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ROUND(10*B5/3168,1)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ROUND(1650*B5/3168,1)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ROUND(3000*B5/3168,1)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D8/100*50+D9/100*7+D10/100*31+D12/100*520+D13/100*11078+D14/100*16898+D15/100*98+D16/100*150+D17/100*24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D8/100*5+D9/100*12+D12/100*82+D13/100*12+D14/100*49+D15/100*16</f>
        <v/>
      </c>
      <c r="C58" s="13">
        <f>ROUND(1000*B5/3168,1)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ROUND(536.88*B5/3168,1)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ROUND(100*B5/3168,1)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ROUND(100*B5/3168,1)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ROUND(100*B5/3168,1)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ROUND(100*B5/3168,1)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ROUND(100*B5/3168,1)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D8/100*6+D9/100*1+D10/100*72+D11/100*3+D12/100*47+D13/100*588+D14/100*290+D15/100*2+D16/100*1+D17/100*5</f>
        <v/>
      </c>
      <c r="C66" s="13">
        <f>ROUND(800*B5/3168,1)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D8/100*1.01+D9/100*0.6+D10/100*2.51+D11/100*2.25+D12/100*1.53+D13/100*6.5+D14/100*7.17+D15/100*0.42+D16/100*0.53+D17/100*1.03</f>
        <v/>
      </c>
      <c r="C67" s="13">
        <f>ROUND(100*B5/3168,1)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ROUND(3000*B5/3168,1)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C版：鸭胸强化版</t>
        </is>
      </c>
    </row>
    <row r="2">
      <c r="A2" s="2" t="inlineStr">
        <is>
          <t>基于 NRC 2006 · 鲅鱼体系 · 每批额外补1粒VD3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3180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</v>
      </c>
      <c r="C8" s="9" t="n">
        <v>0</v>
      </c>
      <c r="D8" s="10">
        <f>ROUND(B5*0.0,0)</f>
        <v/>
      </c>
    </row>
    <row r="9">
      <c r="A9" s="7" t="inlineStr">
        <is>
          <t>猪瘦肉</t>
        </is>
      </c>
      <c r="B9" s="8" t="n">
        <v>0.1887</v>
      </c>
      <c r="C9" s="9" t="n">
        <v>600</v>
      </c>
      <c r="D9" s="10">
        <f>ROUND(B5*0.18867924528301888,0)</f>
        <v/>
      </c>
    </row>
    <row r="10">
      <c r="A10" s="7" t="inlineStr">
        <is>
          <t>鸡心</t>
        </is>
      </c>
      <c r="B10" s="8" t="n">
        <v>0.1289</v>
      </c>
      <c r="C10" s="9" t="n">
        <v>410</v>
      </c>
      <c r="D10" s="10">
        <f>ROUND(B5*0.1289308176100629,0)</f>
        <v/>
      </c>
    </row>
    <row r="11">
      <c r="A11" s="7" t="inlineStr">
        <is>
          <t>牛心</t>
        </is>
      </c>
      <c r="B11" s="8" t="n">
        <v>0.1399</v>
      </c>
      <c r="C11" s="9" t="n">
        <v>445</v>
      </c>
      <c r="D11" s="10">
        <f>ROUND(B5*0.139937106918239,0)</f>
        <v/>
      </c>
    </row>
    <row r="12">
      <c r="A12" s="7" t="inlineStr">
        <is>
          <t>鸡蛋</t>
        </is>
      </c>
      <c r="B12" s="8" t="n">
        <v>0.0799</v>
      </c>
      <c r="C12" s="9" t="n">
        <v>254</v>
      </c>
      <c r="D12" s="10">
        <f>ROUND(B5*0.07987421383647798,0)</f>
        <v/>
      </c>
    </row>
    <row r="13">
      <c r="A13" s="7" t="inlineStr">
        <is>
          <t>鸡肝</t>
        </is>
      </c>
      <c r="B13" s="8" t="n">
        <v>0.0399</v>
      </c>
      <c r="C13" s="9" t="n">
        <v>127</v>
      </c>
      <c r="D13" s="10">
        <f>ROUND(B5*0.03993710691823899,0)</f>
        <v/>
      </c>
    </row>
    <row r="14">
      <c r="A14" s="7" t="inlineStr">
        <is>
          <t>牛肝</t>
        </is>
      </c>
      <c r="B14" s="8" t="n">
        <v>0.0299</v>
      </c>
      <c r="C14" s="9" t="n">
        <v>95</v>
      </c>
      <c r="D14" s="10">
        <f>ROUND(B5*0.029874213836477988,0)</f>
        <v/>
      </c>
    </row>
    <row r="15">
      <c r="A15" s="7" t="inlineStr">
        <is>
          <t>鲅鱼</t>
        </is>
      </c>
      <c r="B15" s="8" t="n">
        <v>0.0399</v>
      </c>
      <c r="C15" s="9" t="n">
        <v>127</v>
      </c>
      <c r="D15" s="10">
        <f>ROUND(B5*0.03993710691823899,0)</f>
        <v/>
      </c>
    </row>
    <row r="16">
      <c r="A16" s="7" t="inlineStr">
        <is>
          <t>鸡皮</t>
        </is>
      </c>
      <c r="B16" s="8" t="n">
        <v>0.0698</v>
      </c>
      <c r="C16" s="9" t="n">
        <v>222</v>
      </c>
      <c r="D16" s="10">
        <f>ROUND(B5*0.06981132075471698,0)</f>
        <v/>
      </c>
    </row>
    <row r="17">
      <c r="A17" s="7" t="inlineStr">
        <is>
          <t>鸭胸</t>
        </is>
      </c>
      <c r="B17" s="8" t="n">
        <v>0.283</v>
      </c>
      <c r="C17" s="9" t="n">
        <v>900</v>
      </c>
      <c r="D17" s="10">
        <f>ROUND(B5*0.2830188679245283,0)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D8/100*119+D9/100*143+D10/100*153+D11/100*112+D12/100*143+D13/100*119+D14/100*135+D15/100*139+D16/100*349+D17/100*135+90*B5/3180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ROUND(18.0*B5/3180,1)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ROUND(3.0*B5/3180,1)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ROUND(10.0*B5/3180,1)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ROUND(1.0*B5/3180,1)</f>
        <v/>
      </c>
    </row>
    <row r="31">
      <c r="A31" s="7" t="inlineStr">
        <is>
          <t>维生素E 100IU×8</t>
        </is>
      </c>
      <c r="B31" s="7" t="inlineStr">
        <is>
          <t>8粒</t>
        </is>
      </c>
      <c r="C31" s="15">
        <f>ROUND(8.0*B5/3180,1)</f>
        <v/>
      </c>
    </row>
    <row r="32">
      <c r="A32" s="7" t="inlineStr">
        <is>
          <t>维生素B族 B-50</t>
        </is>
      </c>
      <c r="B32" s="7" t="inlineStr">
        <is>
          <t>2片</t>
        </is>
      </c>
      <c r="C32" s="15">
        <f>ROUND(2.0*B5/3180,1)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ROUND(7.0*B5/3180,1)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ROUND(3.0*B5/3180,1)</f>
        <v/>
      </c>
    </row>
    <row r="35">
      <c r="A35" s="7" t="inlineStr">
        <is>
          <t>锌片 30mg</t>
        </is>
      </c>
      <c r="B35" s="7" t="inlineStr">
        <is>
          <t>1粒</t>
        </is>
      </c>
      <c r="C35" s="15">
        <f>ROUND(1.0*B5/3180,1)</f>
        <v/>
      </c>
    </row>
    <row r="36">
      <c r="A36" s="7" t="inlineStr">
        <is>
          <t>螯合铁 36mg</t>
        </is>
      </c>
      <c r="B36" s="7" t="inlineStr">
        <is>
          <t>1粒</t>
        </is>
      </c>
      <c r="C36" s="15">
        <f>ROUND(1.0*B5/3180,1)</f>
        <v/>
      </c>
    </row>
    <row r="37">
      <c r="A37" s="7" t="inlineStr">
        <is>
          <t>锰片 10mg</t>
        </is>
      </c>
      <c r="B37" s="7" t="inlineStr">
        <is>
          <t>1粒</t>
        </is>
      </c>
      <c r="C37" s="15">
        <f>ROUND(1.0*B5/3180,1)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ROUND(7207.2*B5/3180,1)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ROUND(1180.2*B5/3180,1)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ROUND(1819.8000000000002*B5/3180,1)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ROUND(36*B5/3180,1)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ROUND(30*B5/3180,1)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ROUND(10*B5/3180,1)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ROUND(1650*B5/3180,1)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ROUND(3000*B5/3180,1)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D8/100*50+D9/100*7+D10/100*31+D12/100*520+D13/100*11078+D14/100*16898+D15/100*98+D16/100*150+D17/100*24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D8/100*5+D9/100*12+D12/100*82+D13/100*12+D14/100*49+D15/100*16</f>
        <v/>
      </c>
      <c r="C58" s="13">
        <f>ROUND(1000*B5/3180,1)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ROUND(536.88*B5/3180,1)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ROUND(100*B5/3180,1)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ROUND(100*B5/3180,1)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ROUND(100*B5/3180,1)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ROUND(100*B5/3180,1)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ROUND(100*B5/3180,1)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D8/100*6+D9/100*1+D10/100*72+D11/100*3+D12/100*47+D13/100*588+D14/100*290+D15/100*2+D16/100*1+D17/100*5</f>
        <v/>
      </c>
      <c r="C66" s="13">
        <f>ROUND(800*B5/3180,1)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D8/100*1.01+D9/100*0.6+D10/100*2.51+D11/100*2.25+D12/100*1.53+D13/100*6.5+D14/100*7.17+D15/100*0.42+D16/100*0.53+D17/100*1.03</f>
        <v/>
      </c>
      <c r="C67" s="13">
        <f>ROUND(100*B5/3180,1)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ROUND(3000*B5/3180,1)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营养素（每100g生重）</t>
        </is>
      </c>
    </row>
    <row r="3">
      <c r="A3" s="6" t="inlineStr">
        <is>
          <t>营养素</t>
        </is>
      </c>
      <c r="B3" s="6" t="inlineStr">
        <is>
          <t>鸡腿肉</t>
        </is>
      </c>
      <c r="C3" s="6" t="inlineStr">
        <is>
          <t>猪瘦肉</t>
        </is>
      </c>
      <c r="D3" s="6" t="inlineStr">
        <is>
          <t>鸡心</t>
        </is>
      </c>
      <c r="E3" s="6" t="inlineStr">
        <is>
          <t>牛心</t>
        </is>
      </c>
      <c r="F3" s="6" t="inlineStr">
        <is>
          <t>鸡蛋</t>
        </is>
      </c>
      <c r="G3" s="6" t="inlineStr">
        <is>
          <t>鸡肝</t>
        </is>
      </c>
      <c r="H3" s="6" t="inlineStr">
        <is>
          <t>牛肝</t>
        </is>
      </c>
      <c r="I3" s="6" t="inlineStr">
        <is>
          <t>鲅鱼</t>
        </is>
      </c>
      <c r="J3" s="6" t="inlineStr">
        <is>
          <t>鸡皮</t>
        </is>
      </c>
      <c r="K3" s="6" t="inlineStr">
        <is>
          <t>鸭胸</t>
        </is>
      </c>
    </row>
    <row r="4">
      <c r="A4" s="7" t="inlineStr">
        <is>
          <t>能量(kcal)</t>
        </is>
      </c>
      <c r="B4" s="19" t="n">
        <v>119</v>
      </c>
      <c r="C4" s="19" t="n">
        <v>143</v>
      </c>
      <c r="D4" s="19" t="n">
        <v>153</v>
      </c>
      <c r="E4" s="19" t="n">
        <v>112</v>
      </c>
      <c r="F4" s="19" t="n">
        <v>143</v>
      </c>
      <c r="G4" s="19" t="n">
        <v>119</v>
      </c>
      <c r="H4" s="19" t="n">
        <v>135</v>
      </c>
      <c r="I4" s="19" t="n">
        <v>139</v>
      </c>
      <c r="J4" s="19" t="n">
        <v>349</v>
      </c>
      <c r="K4" s="19" t="n">
        <v>135</v>
      </c>
    </row>
    <row r="5">
      <c r="A5" s="7" t="inlineStr">
        <is>
          <t>蛋白质(g)</t>
        </is>
      </c>
      <c r="B5" s="19" t="n">
        <v>19.6</v>
      </c>
      <c r="C5" s="19" t="n">
        <v>21.1</v>
      </c>
      <c r="D5" s="19" t="n">
        <v>15.6</v>
      </c>
      <c r="E5" s="19" t="n">
        <v>17.7</v>
      </c>
      <c r="F5" s="19" t="n">
        <v>12.6</v>
      </c>
      <c r="G5" s="19" t="n">
        <v>16.9</v>
      </c>
      <c r="H5" s="19" t="n">
        <v>20.4</v>
      </c>
      <c r="I5" s="19" t="n">
        <v>19.29</v>
      </c>
      <c r="J5" s="19" t="n">
        <v>13.3</v>
      </c>
      <c r="K5" s="19" t="n">
        <v>18.28</v>
      </c>
    </row>
    <row r="6">
      <c r="A6" s="7" t="inlineStr">
        <is>
          <t>脂肪(g)</t>
        </is>
      </c>
      <c r="B6" s="19" t="n">
        <v>4.3</v>
      </c>
      <c r="C6" s="19" t="n">
        <v>6.9</v>
      </c>
      <c r="D6" s="19" t="n">
        <v>9.300000000000001</v>
      </c>
      <c r="E6" s="19" t="n">
        <v>3.9</v>
      </c>
      <c r="F6" s="19" t="n">
        <v>9.9</v>
      </c>
      <c r="G6" s="19" t="n">
        <v>4.8</v>
      </c>
      <c r="H6" s="19" t="n">
        <v>3.6</v>
      </c>
      <c r="I6" s="19" t="n">
        <v>6.3</v>
      </c>
      <c r="J6" s="19" t="n">
        <v>32.4</v>
      </c>
      <c r="K6" s="19" t="n">
        <v>5.95</v>
      </c>
    </row>
    <row r="7">
      <c r="A7" s="7" t="inlineStr">
        <is>
          <t>磷(mg)</t>
        </is>
      </c>
      <c r="B7" s="19" t="n">
        <v>178</v>
      </c>
      <c r="C7" s="19" t="n">
        <v>197</v>
      </c>
      <c r="D7" s="19" t="n">
        <v>177</v>
      </c>
      <c r="E7" s="19" t="n">
        <v>212</v>
      </c>
      <c r="F7" s="19" t="n">
        <v>198</v>
      </c>
      <c r="G7" s="19" t="n">
        <v>297</v>
      </c>
      <c r="H7" s="19" t="n">
        <v>387</v>
      </c>
      <c r="I7" s="19" t="n">
        <v>171</v>
      </c>
      <c r="J7" s="19" t="n">
        <v>68</v>
      </c>
      <c r="K7" s="19" t="n">
        <v>203</v>
      </c>
    </row>
    <row r="8">
      <c r="A8" s="7" t="inlineStr">
        <is>
          <t>钙(mg)</t>
        </is>
      </c>
      <c r="B8" s="19" t="n">
        <v>9</v>
      </c>
      <c r="C8" s="19" t="n">
        <v>5</v>
      </c>
      <c r="D8" s="19" t="n">
        <v>12</v>
      </c>
      <c r="E8" s="19" t="n">
        <v>7</v>
      </c>
      <c r="F8" s="19" t="n">
        <v>56</v>
      </c>
      <c r="G8" s="19" t="n">
        <v>8</v>
      </c>
      <c r="H8" s="19" t="n">
        <v>5</v>
      </c>
      <c r="I8" s="19" t="n">
        <v>11</v>
      </c>
      <c r="J8" s="19" t="n">
        <v>11</v>
      </c>
      <c r="K8" s="19" t="n">
        <v>11</v>
      </c>
    </row>
    <row r="9">
      <c r="A9" s="7" t="inlineStr">
        <is>
          <t>铁(mg)</t>
        </is>
      </c>
      <c r="B9" s="19" t="n">
        <v>0.8</v>
      </c>
      <c r="C9" s="19" t="n">
        <v>0.8</v>
      </c>
      <c r="D9" s="19" t="n">
        <v>5.9</v>
      </c>
      <c r="E9" s="19" t="n">
        <v>4.3</v>
      </c>
      <c r="F9" s="19" t="n">
        <v>1.8</v>
      </c>
      <c r="G9" s="19" t="n">
        <v>9</v>
      </c>
      <c r="H9" s="19" t="n">
        <v>4.9</v>
      </c>
      <c r="I9" s="19" t="n">
        <v>0.44</v>
      </c>
      <c r="J9" s="19" t="n">
        <v>0.7</v>
      </c>
      <c r="K9" s="19" t="n">
        <v>2.4</v>
      </c>
    </row>
    <row r="10">
      <c r="A10" s="7" t="inlineStr">
        <is>
          <t>锌(mg)</t>
        </is>
      </c>
      <c r="B10" s="19" t="n">
        <v>1.8</v>
      </c>
      <c r="C10" s="19" t="n">
        <v>1.9</v>
      </c>
      <c r="D10" s="19" t="n">
        <v>6.6</v>
      </c>
      <c r="E10" s="19" t="n">
        <v>2.4</v>
      </c>
      <c r="F10" s="19" t="n">
        <v>1.3</v>
      </c>
      <c r="G10" s="19" t="n">
        <v>2.7</v>
      </c>
      <c r="H10" s="19" t="n">
        <v>4</v>
      </c>
      <c r="I10" s="19" t="n">
        <v>0.51</v>
      </c>
      <c r="J10" s="19" t="n">
        <v>0.6</v>
      </c>
      <c r="K10" s="19" t="n">
        <v>1.9</v>
      </c>
    </row>
    <row r="11">
      <c r="A11" s="7" t="inlineStr">
        <is>
          <t>铜(mg)</t>
        </is>
      </c>
      <c r="B11" s="19" t="n">
        <v>0.06</v>
      </c>
      <c r="C11" s="19" t="n">
        <v>0.06</v>
      </c>
      <c r="D11" s="19" t="n">
        <v>0.33</v>
      </c>
      <c r="E11" s="19" t="n">
        <v>0.39</v>
      </c>
      <c r="F11" s="19" t="n">
        <v>0.07000000000000001</v>
      </c>
      <c r="G11" s="19" t="n">
        <v>0.49</v>
      </c>
      <c r="H11" s="19" t="n">
        <v>9.76</v>
      </c>
      <c r="I11" s="19" t="n">
        <v>0.046</v>
      </c>
      <c r="J11" s="19" t="n">
        <v>0.02</v>
      </c>
      <c r="K11" s="19" t="n">
        <v>0.24</v>
      </c>
    </row>
    <row r="12">
      <c r="A12" s="7" t="inlineStr">
        <is>
          <t>锰(mg)</t>
        </is>
      </c>
      <c r="B12" s="19" t="n">
        <v>0.02</v>
      </c>
      <c r="C12" s="19" t="n">
        <v>0.01</v>
      </c>
      <c r="D12" s="19" t="n">
        <v>0.05</v>
      </c>
      <c r="E12" s="19" t="n">
        <v>0.03</v>
      </c>
      <c r="F12" s="19" t="n">
        <v>0.03</v>
      </c>
      <c r="G12" s="19" t="n">
        <v>0.26</v>
      </c>
      <c r="H12" s="19" t="n">
        <v>0.31</v>
      </c>
      <c r="I12" s="19" t="n">
        <v>0.015</v>
      </c>
      <c r="J12" s="19" t="n">
        <v>0.01</v>
      </c>
      <c r="K12" s="19" t="n">
        <v>0.02</v>
      </c>
    </row>
    <row r="13">
      <c r="A13" s="7" t="inlineStr">
        <is>
          <t>钾(mg)</t>
        </is>
      </c>
      <c r="B13" s="19" t="n">
        <v>242</v>
      </c>
      <c r="C13" s="19" t="n">
        <v>389</v>
      </c>
      <c r="D13" s="19" t="n">
        <v>176.066</v>
      </c>
      <c r="E13" s="19" t="n">
        <v>286.984</v>
      </c>
      <c r="F13" s="19" t="n">
        <v>138</v>
      </c>
      <c r="G13" s="19" t="n">
        <v>230</v>
      </c>
      <c r="H13" s="19" t="n">
        <v>313</v>
      </c>
      <c r="I13" s="19" t="n">
        <v>446</v>
      </c>
      <c r="J13" s="19" t="n">
        <v>119</v>
      </c>
      <c r="K13" s="19" t="n">
        <v>271</v>
      </c>
    </row>
    <row r="14">
      <c r="A14" s="7" t="inlineStr">
        <is>
          <t>钠(mg)</t>
        </is>
      </c>
      <c r="B14" s="19" t="n">
        <v>95</v>
      </c>
      <c r="C14" s="19" t="n">
        <v>52</v>
      </c>
      <c r="D14" s="19" t="n">
        <v>73.934</v>
      </c>
      <c r="E14" s="19" t="n">
        <v>97.989</v>
      </c>
      <c r="F14" s="19" t="n">
        <v>142</v>
      </c>
      <c r="G14" s="19" t="n">
        <v>71</v>
      </c>
      <c r="H14" s="19" t="n">
        <v>69</v>
      </c>
      <c r="I14" s="19" t="n">
        <v>59</v>
      </c>
      <c r="J14" s="19" t="n">
        <v>51</v>
      </c>
      <c r="K14" s="19" t="n">
        <v>74</v>
      </c>
    </row>
    <row r="15">
      <c r="A15" s="7" t="inlineStr">
        <is>
          <t>碘(mcg)</t>
        </is>
      </c>
      <c r="B15" s="19" t="n">
        <v>1</v>
      </c>
      <c r="C15" s="19" t="n">
        <v>1</v>
      </c>
      <c r="D15" s="19" t="n">
        <v>5</v>
      </c>
      <c r="E15" s="19" t="n">
        <v>5</v>
      </c>
      <c r="F15" s="19" t="n">
        <v>27</v>
      </c>
      <c r="G15" s="19" t="n">
        <v>3</v>
      </c>
      <c r="H15" s="19" t="n">
        <v>3</v>
      </c>
      <c r="I15" s="19" t="n">
        <v>35</v>
      </c>
      <c r="J15" s="19" t="n">
        <v>1</v>
      </c>
      <c r="K15" s="19" t="n">
        <v>1</v>
      </c>
    </row>
    <row r="16">
      <c r="A16" s="7" t="inlineStr">
        <is>
          <t>硒(mcg)</t>
        </is>
      </c>
      <c r="B16" s="19" t="n">
        <v>23</v>
      </c>
      <c r="C16" s="19" t="n">
        <v>32.5</v>
      </c>
      <c r="D16" s="19" t="n">
        <v>16</v>
      </c>
      <c r="E16" s="19" t="n">
        <v>21.8</v>
      </c>
      <c r="F16" s="19" t="n">
        <v>30.7</v>
      </c>
      <c r="G16" s="19" t="n">
        <v>54.6</v>
      </c>
      <c r="H16" s="19" t="n">
        <v>39.7</v>
      </c>
      <c r="I16" s="19" t="n">
        <v>36.5</v>
      </c>
      <c r="J16" s="19" t="n">
        <v>14.1</v>
      </c>
      <c r="K16" s="19" t="n">
        <v>14</v>
      </c>
    </row>
    <row r="17">
      <c r="A17" s="7" t="inlineStr">
        <is>
          <t>VA(IU)</t>
        </is>
      </c>
      <c r="B17" s="19" t="n">
        <v>50</v>
      </c>
      <c r="C17" s="19" t="n">
        <v>7</v>
      </c>
      <c r="D17" s="19" t="n">
        <v>31</v>
      </c>
      <c r="E17" s="19" t="n">
        <v>0</v>
      </c>
      <c r="F17" s="19" t="n">
        <v>520</v>
      </c>
      <c r="G17" s="19" t="n">
        <v>11078</v>
      </c>
      <c r="H17" s="19" t="n">
        <v>16898</v>
      </c>
      <c r="I17" s="19" t="n">
        <v>98</v>
      </c>
      <c r="J17" s="19" t="n">
        <v>150</v>
      </c>
      <c r="K17" s="19" t="n">
        <v>24</v>
      </c>
    </row>
    <row r="18">
      <c r="A18" s="7" t="inlineStr">
        <is>
          <t>VD(IU)</t>
        </is>
      </c>
      <c r="B18" s="19" t="n">
        <v>5</v>
      </c>
      <c r="C18" s="19" t="n">
        <v>12</v>
      </c>
      <c r="D18" s="19" t="n">
        <v>0</v>
      </c>
      <c r="E18" s="19" t="n">
        <v>0</v>
      </c>
      <c r="F18" s="19" t="n">
        <v>82</v>
      </c>
      <c r="G18" s="19" t="n">
        <v>12</v>
      </c>
      <c r="H18" s="19" t="n">
        <v>49</v>
      </c>
      <c r="I18" s="19" t="n">
        <v>16</v>
      </c>
      <c r="J18" s="19" t="n">
        <v>0</v>
      </c>
      <c r="K18" s="19" t="n">
        <v>0</v>
      </c>
    </row>
    <row r="19">
      <c r="A19" s="7" t="inlineStr">
        <is>
          <t>VE(mg)</t>
        </is>
      </c>
      <c r="B19" s="19" t="n">
        <v>0.2</v>
      </c>
      <c r="C19" s="19" t="n">
        <v>0.5</v>
      </c>
      <c r="D19" s="19" t="n">
        <v>0.7</v>
      </c>
      <c r="E19" s="19" t="n">
        <v>0.2</v>
      </c>
      <c r="F19" s="19" t="n">
        <v>1.1</v>
      </c>
      <c r="G19" s="19" t="n">
        <v>0.7</v>
      </c>
      <c r="H19" s="19" t="n">
        <v>0.5</v>
      </c>
      <c r="I19" s="19" t="n">
        <v>0.42</v>
      </c>
      <c r="J19" s="19" t="n">
        <v>0.3</v>
      </c>
      <c r="K19" s="19" t="n">
        <v>0.7</v>
      </c>
    </row>
    <row r="20">
      <c r="A20" s="7" t="inlineStr">
        <is>
          <t>VB1(mg)</t>
        </is>
      </c>
      <c r="B20" s="19" t="n">
        <v>0.07000000000000001</v>
      </c>
      <c r="C20" s="19" t="n">
        <v>0.8100000000000001</v>
      </c>
      <c r="D20" s="19" t="n">
        <v>0.13</v>
      </c>
      <c r="E20" s="19" t="n">
        <v>0.24</v>
      </c>
      <c r="F20" s="19" t="n">
        <v>0.04</v>
      </c>
      <c r="G20" s="19" t="n">
        <v>0.31</v>
      </c>
      <c r="H20" s="19" t="n">
        <v>0.19</v>
      </c>
      <c r="I20" s="19" t="n">
        <v>0.068</v>
      </c>
      <c r="J20" s="19" t="n">
        <v>0.01</v>
      </c>
      <c r="K20" s="19" t="n">
        <v>0.36</v>
      </c>
    </row>
    <row r="21">
      <c r="A21" s="7" t="inlineStr">
        <is>
          <t>VB2(mg)</t>
        </is>
      </c>
      <c r="B21" s="19" t="n">
        <v>0.16</v>
      </c>
      <c r="C21" s="19" t="n">
        <v>0.23</v>
      </c>
      <c r="D21" s="19" t="n">
        <v>0.73</v>
      </c>
      <c r="E21" s="19" t="n">
        <v>0.91</v>
      </c>
      <c r="F21" s="19" t="n">
        <v>0.46</v>
      </c>
      <c r="G21" s="19" t="n">
        <v>1.78</v>
      </c>
      <c r="H21" s="19" t="n">
        <v>2.76</v>
      </c>
      <c r="I21" s="19" t="n">
        <v>0.13</v>
      </c>
      <c r="J21" s="19" t="n">
        <v>0.07000000000000001</v>
      </c>
      <c r="K21" s="19" t="n">
        <v>0.47</v>
      </c>
    </row>
    <row r="22">
      <c r="A22" s="7" t="inlineStr">
        <is>
          <t>VB3(mg)</t>
        </is>
      </c>
      <c r="B22" s="19" t="n">
        <v>5.3</v>
      </c>
      <c r="C22" s="19" t="n">
        <v>5</v>
      </c>
      <c r="D22" s="19" t="n">
        <v>4.8</v>
      </c>
      <c r="E22" s="19" t="n">
        <v>7.4</v>
      </c>
      <c r="F22" s="19" t="n">
        <v>0.1</v>
      </c>
      <c r="G22" s="19" t="n">
        <v>9.699999999999999</v>
      </c>
      <c r="H22" s="19" t="n">
        <v>13.2</v>
      </c>
      <c r="I22" s="19" t="n">
        <v>8.470000000000001</v>
      </c>
      <c r="J22" s="19" t="n">
        <v>2.5</v>
      </c>
      <c r="K22" s="19" t="n">
        <v>5.3</v>
      </c>
    </row>
    <row r="23">
      <c r="A23" s="7" t="inlineStr">
        <is>
          <t>VB6(mg)</t>
        </is>
      </c>
      <c r="B23" s="19" t="n">
        <v>0.33</v>
      </c>
      <c r="C23" s="19" t="n">
        <v>0.42</v>
      </c>
      <c r="D23" s="19" t="n">
        <v>0.29</v>
      </c>
      <c r="E23" s="19" t="n">
        <v>0.28</v>
      </c>
      <c r="F23" s="19" t="n">
        <v>0.14</v>
      </c>
      <c r="G23" s="19" t="n">
        <v>0.85</v>
      </c>
      <c r="H23" s="19" t="n">
        <v>1.08</v>
      </c>
      <c r="I23" s="19" t="n">
        <v>0.315</v>
      </c>
      <c r="J23" s="19" t="n">
        <v>0.05</v>
      </c>
      <c r="K23" s="19" t="n">
        <v>0.34</v>
      </c>
    </row>
    <row r="24">
      <c r="A24" s="7" t="inlineStr">
        <is>
          <t>VB12(mcg)</t>
        </is>
      </c>
      <c r="B24" s="19" t="n">
        <v>0.4</v>
      </c>
      <c r="C24" s="19" t="n">
        <v>0.6</v>
      </c>
      <c r="D24" s="19" t="n">
        <v>7.3</v>
      </c>
      <c r="E24" s="19" t="n">
        <v>8.6</v>
      </c>
      <c r="F24" s="19" t="n">
        <v>0.9</v>
      </c>
      <c r="G24" s="19" t="n">
        <v>16.6</v>
      </c>
      <c r="H24" s="19" t="n">
        <v>59.3</v>
      </c>
      <c r="I24" s="19" t="n">
        <v>7.4</v>
      </c>
      <c r="J24" s="19" t="n">
        <v>0.3</v>
      </c>
      <c r="K24" s="19" t="n">
        <v>0.4</v>
      </c>
    </row>
    <row r="25">
      <c r="A25" s="7" t="inlineStr">
        <is>
          <t>牛磺酸(mg)</t>
        </is>
      </c>
      <c r="B25" s="19" t="n">
        <v>40</v>
      </c>
      <c r="C25" s="19" t="n">
        <v>50</v>
      </c>
      <c r="D25" s="19" t="n">
        <v>145</v>
      </c>
      <c r="E25" s="19" t="n">
        <v>160</v>
      </c>
      <c r="F25" s="19" t="n">
        <v>20</v>
      </c>
      <c r="G25" s="19" t="n">
        <v>30</v>
      </c>
      <c r="H25" s="19" t="n">
        <v>40</v>
      </c>
      <c r="I25" s="19" t="n">
        <v>70</v>
      </c>
      <c r="J25" s="19" t="n">
        <v>10</v>
      </c>
      <c r="K25" s="19" t="n">
        <v>0</v>
      </c>
    </row>
    <row r="26">
      <c r="A26" s="7" t="inlineStr">
        <is>
          <t>花生四烯酸(mg)</t>
        </is>
      </c>
      <c r="B26" s="19" t="n">
        <v>50</v>
      </c>
      <c r="C26" s="19" t="n">
        <v>70</v>
      </c>
      <c r="D26" s="19" t="n">
        <v>84</v>
      </c>
      <c r="E26" s="19" t="n">
        <v>25</v>
      </c>
      <c r="F26" s="19" t="n">
        <v>155</v>
      </c>
      <c r="G26" s="19" t="n">
        <v>260</v>
      </c>
      <c r="H26" s="19" t="n">
        <v>200</v>
      </c>
      <c r="I26" s="19" t="n">
        <v>60</v>
      </c>
      <c r="J26" s="19" t="n">
        <v>250</v>
      </c>
      <c r="K26" s="19" t="n">
        <v>0</v>
      </c>
    </row>
    <row r="27">
      <c r="A27" s="7" t="inlineStr">
        <is>
          <t>EPA+DHA(mg)</t>
        </is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v>0</v>
      </c>
      <c r="G27" s="19" t="n">
        <v>0</v>
      </c>
      <c r="H27" s="19" t="n">
        <v>0</v>
      </c>
      <c r="I27" s="19" t="n">
        <v>941</v>
      </c>
      <c r="J27" s="19" t="n">
        <v>0</v>
      </c>
      <c r="K27" s="19" t="n">
        <v>0</v>
      </c>
    </row>
    <row r="28">
      <c r="A28" s="7" t="inlineStr">
        <is>
          <t>亚油酸(g)</t>
        </is>
      </c>
      <c r="B28" s="19" t="n">
        <v>0.748</v>
      </c>
      <c r="C28" s="19" t="n">
        <v>0.49</v>
      </c>
      <c r="D28" s="19" t="n">
        <v>1.918</v>
      </c>
      <c r="E28" s="19" t="n">
        <v>0.395</v>
      </c>
      <c r="F28" s="19" t="n">
        <v>1.554</v>
      </c>
      <c r="G28" s="19" t="n">
        <v>0.475</v>
      </c>
      <c r="H28" s="19" t="n">
        <v>0.299</v>
      </c>
      <c r="I28" s="19" t="n">
        <v>0.1</v>
      </c>
      <c r="J28" s="19" t="n">
        <v>8.288</v>
      </c>
      <c r="K28" s="19" t="n">
        <v>0.752</v>
      </c>
    </row>
    <row r="29">
      <c r="A29" s="7" t="inlineStr">
        <is>
          <t>镁(mg)</t>
        </is>
      </c>
      <c r="B29" s="19" t="n">
        <v>23</v>
      </c>
      <c r="C29" s="19" t="n">
        <v>25</v>
      </c>
      <c r="D29" s="19" t="n">
        <v>15</v>
      </c>
      <c r="E29" s="19" t="n">
        <v>21</v>
      </c>
      <c r="F29" s="19" t="n">
        <v>12</v>
      </c>
      <c r="G29" s="19" t="n">
        <v>19</v>
      </c>
      <c r="H29" s="19" t="n">
        <v>20</v>
      </c>
      <c r="I29" s="19" t="n">
        <v>33</v>
      </c>
      <c r="J29" s="19" t="n">
        <v>10</v>
      </c>
      <c r="K29" s="19" t="n">
        <v>20</v>
      </c>
    </row>
    <row r="30">
      <c r="A30" s="7" t="inlineStr">
        <is>
          <t>胆碱(mg)</t>
        </is>
      </c>
      <c r="B30" s="19" t="n">
        <v>65</v>
      </c>
      <c r="C30" s="19" t="n">
        <v>80</v>
      </c>
      <c r="D30" s="19" t="n">
        <v>65</v>
      </c>
      <c r="E30" s="19" t="n">
        <v>150</v>
      </c>
      <c r="F30" s="19" t="n">
        <v>293</v>
      </c>
      <c r="G30" s="19" t="n">
        <v>290</v>
      </c>
      <c r="H30" s="19" t="n">
        <v>333</v>
      </c>
      <c r="I30" s="19" t="n">
        <v>65</v>
      </c>
      <c r="J30" s="19" t="n">
        <v>46</v>
      </c>
      <c r="K30" s="19" t="n">
        <v>64</v>
      </c>
    </row>
    <row r="31">
      <c r="A31" s="7" t="inlineStr">
        <is>
          <t>叶酸(mcg)</t>
        </is>
      </c>
      <c r="B31" s="19" t="n">
        <v>6</v>
      </c>
      <c r="C31" s="19" t="n">
        <v>1</v>
      </c>
      <c r="D31" s="19" t="n">
        <v>72</v>
      </c>
      <c r="E31" s="19" t="n">
        <v>3</v>
      </c>
      <c r="F31" s="19" t="n">
        <v>47</v>
      </c>
      <c r="G31" s="19" t="n">
        <v>588</v>
      </c>
      <c r="H31" s="19" t="n">
        <v>290</v>
      </c>
      <c r="I31" s="19" t="n">
        <v>2</v>
      </c>
      <c r="J31" s="19" t="n">
        <v>1</v>
      </c>
      <c r="K31" s="19" t="n">
        <v>5</v>
      </c>
    </row>
    <row r="32">
      <c r="A32" s="7" t="inlineStr">
        <is>
          <t>泛酸(mg)</t>
        </is>
      </c>
      <c r="B32" s="19" t="n">
        <v>1.01</v>
      </c>
      <c r="C32" s="19" t="n">
        <v>0.6</v>
      </c>
      <c r="D32" s="19" t="n">
        <v>2.51</v>
      </c>
      <c r="E32" s="19" t="n">
        <v>2.25</v>
      </c>
      <c r="F32" s="19" t="n">
        <v>1.53</v>
      </c>
      <c r="G32" s="19" t="n">
        <v>6.5</v>
      </c>
      <c r="H32" s="19" t="n">
        <v>7.17</v>
      </c>
      <c r="I32" s="19" t="n">
        <v>0.42</v>
      </c>
      <c r="J32" s="19" t="n">
        <v>0.53</v>
      </c>
      <c r="K32" s="19" t="n">
        <v>1.03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2026-03-29T07:17:46Z</dcterms:created>
  <dcterms:modified xsi:type="dcterms:W3CDTF">2026-03-29T07:17:46Z</dcterms:modified>
</cp:coreProperties>
</file>