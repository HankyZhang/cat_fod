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版" sheetId="1" state="visible" r:id="rId1"/>
    <sheet name="B版" sheetId="2" state="visible" r:id="rId2"/>
    <sheet name="C版" sheetId="3" state="visible" r:id="rId3"/>
    <sheet name="营养矩阵(参考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0.000"/>
    <numFmt numFmtId="167" formatCode="0.0"/>
    <numFmt numFmtId="168" formatCode="0.###"/>
  </numFmts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10"/>
    </font>
    <font>
      <name val="微软雅黑"/>
      <b val="1"/>
      <color rgb="00C00000"/>
      <sz val="11"/>
    </font>
    <font>
      <name val="微软雅黑"/>
      <b val="1"/>
      <sz val="13"/>
    </font>
    <font>
      <name val="微软雅黑"/>
      <b val="1"/>
    </font>
    <font>
      <name val="微软雅黑"/>
      <b val="1"/>
      <color rgb="00FFFFFF"/>
      <sz val="11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0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0" borderId="0" pivotButton="0" quotePrefix="0" xfId="0"/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1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H8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4" customWidth="1" min="7" max="7"/>
  </cols>
  <sheetData>
    <row r="1">
      <c r="A1" s="1" t="inlineStr">
        <is>
          <t>🐱 A版：7%鸡皮基础版</t>
        </is>
      </c>
    </row>
    <row r="2">
      <c r="A2" s="2" t="inlineStr">
        <is>
          <t>基于 NRC 2006 · 鲅鱼体系 · 建议每批补1粒VD3(不补也达标)</t>
        </is>
      </c>
    </row>
    <row r="4">
      <c r="A4" s="3" t="inlineStr">
        <is>
          <t>⬇ 修改这里的总原料量</t>
        </is>
      </c>
    </row>
    <row r="5">
      <c r="A5" s="4" t="inlineStr">
        <is>
          <t>总原料量(g)</t>
        </is>
      </c>
      <c r="B5" s="5" t="n">
        <v>3168</v>
      </c>
    </row>
    <row r="7">
      <c r="A7" s="6" t="inlineStr">
        <is>
          <t>食材</t>
        </is>
      </c>
      <c r="B7" s="6" t="inlineStr">
        <is>
          <t>占比</t>
        </is>
      </c>
      <c r="C7" s="6" t="inlineStr">
        <is>
          <t>标准用量(g)</t>
        </is>
      </c>
      <c r="D7" s="6" t="inlineStr">
        <is>
          <t>当前用量(g)</t>
        </is>
      </c>
    </row>
    <row r="8">
      <c r="A8" s="7" t="inlineStr">
        <is>
          <t>鸡腿肉</t>
        </is>
      </c>
      <c r="B8" s="8" t="n">
        <v>0.2803</v>
      </c>
      <c r="C8" s="9" t="n">
        <v>888</v>
      </c>
      <c r="D8" s="10">
        <f>ROUND(B5*0.2803030303030303,0)</f>
        <v/>
      </c>
    </row>
    <row r="9">
      <c r="A9" s="7" t="inlineStr">
        <is>
          <t>猪瘦肉</t>
        </is>
      </c>
      <c r="B9" s="8" t="n">
        <v>0.1894</v>
      </c>
      <c r="C9" s="9" t="n">
        <v>600</v>
      </c>
      <c r="D9" s="10">
        <f>ROUND(B5*0.1893939393939394,0)</f>
        <v/>
      </c>
    </row>
    <row r="10">
      <c r="A10" s="7" t="inlineStr">
        <is>
          <t>鸡心</t>
        </is>
      </c>
      <c r="B10" s="8" t="n">
        <v>0.1294</v>
      </c>
      <c r="C10" s="9" t="n">
        <v>410</v>
      </c>
      <c r="D10" s="10">
        <f>ROUND(B5*0.1294191919191919,0)</f>
        <v/>
      </c>
    </row>
    <row r="11">
      <c r="A11" s="7" t="inlineStr">
        <is>
          <t>牛心</t>
        </is>
      </c>
      <c r="B11" s="8" t="n">
        <v>0.1405</v>
      </c>
      <c r="C11" s="9" t="n">
        <v>445</v>
      </c>
      <c r="D11" s="10">
        <f>ROUND(B5*0.1404671717171717,0)</f>
        <v/>
      </c>
    </row>
    <row r="12">
      <c r="A12" s="7" t="inlineStr">
        <is>
          <t>鸡蛋</t>
        </is>
      </c>
      <c r="B12" s="8" t="n">
        <v>0.08019999999999999</v>
      </c>
      <c r="C12" s="9" t="n">
        <v>254</v>
      </c>
      <c r="D12" s="10">
        <f>ROUND(B5*0.08017676767676768,0)</f>
        <v/>
      </c>
    </row>
    <row r="13">
      <c r="A13" s="7" t="inlineStr">
        <is>
          <t>鸡肝</t>
        </is>
      </c>
      <c r="B13" s="8" t="n">
        <v>0.0401</v>
      </c>
      <c r="C13" s="9" t="n">
        <v>127</v>
      </c>
      <c r="D13" s="10">
        <f>ROUND(B5*0.04008838383838384,0)</f>
        <v/>
      </c>
    </row>
    <row r="14">
      <c r="A14" s="7" t="inlineStr">
        <is>
          <t>牛肝</t>
        </is>
      </c>
      <c r="B14" s="8" t="n">
        <v>0.03</v>
      </c>
      <c r="C14" s="9" t="n">
        <v>95</v>
      </c>
      <c r="D14" s="10">
        <f>ROUND(B5*0.029987373737373736,0)</f>
        <v/>
      </c>
    </row>
    <row r="15">
      <c r="A15" s="7" t="inlineStr">
        <is>
          <t>鲅鱼</t>
        </is>
      </c>
      <c r="B15" s="8" t="n">
        <v>0.0401</v>
      </c>
      <c r="C15" s="9" t="n">
        <v>127</v>
      </c>
      <c r="D15" s="10">
        <f>ROUND(B5*0.04008838383838384,0)</f>
        <v/>
      </c>
    </row>
    <row r="16">
      <c r="A16" s="7" t="inlineStr">
        <is>
          <t>鸡皮</t>
        </is>
      </c>
      <c r="B16" s="8" t="n">
        <v>0.0701</v>
      </c>
      <c r="C16" s="9" t="n">
        <v>222</v>
      </c>
      <c r="D16" s="10">
        <f>ROUND(B5*0.07007575757575757,0)</f>
        <v/>
      </c>
    </row>
    <row r="17">
      <c r="A17" s="7" t="inlineStr">
        <is>
          <t>鸭胸</t>
        </is>
      </c>
      <c r="B17" s="8" t="n">
        <v>0</v>
      </c>
      <c r="C17" s="9" t="n">
        <v>0</v>
      </c>
      <c r="D17" s="10">
        <f>ROUND(B5*0.0,0)</f>
        <v/>
      </c>
    </row>
    <row r="18">
      <c r="A18" s="11" t="inlineStr">
        <is>
          <t>合计</t>
        </is>
      </c>
      <c r="D18" s="9">
        <f>SUM(D8:D17)</f>
        <v/>
      </c>
    </row>
    <row r="20">
      <c r="A20" s="12" t="inlineStr">
        <is>
          <t>基础结果</t>
        </is>
      </c>
    </row>
    <row r="21">
      <c r="A21" s="7" t="inlineStr">
        <is>
          <t>成品重量(g)(90%出成率)</t>
        </is>
      </c>
      <c r="B21" s="13">
        <f>B5*0.9</f>
        <v/>
      </c>
    </row>
    <row r="22">
      <c r="A22" s="7" t="inlineStr">
        <is>
          <t>总能量(kcal)</t>
        </is>
      </c>
      <c r="B22" s="13">
        <f>D8/100*119+D9/100*143+D10/100*153+D11/100*112+D12/100*143+D13/100*119+D14/100*135+D15/100*139+D16/100*349+D17/100*135+90*B5/3168</f>
        <v/>
      </c>
    </row>
    <row r="23">
      <c r="A23" s="7" t="inlineStr">
        <is>
          <t>能量密度(kcal/g)</t>
        </is>
      </c>
      <c r="B23" s="14">
        <f>B22/B21</f>
        <v/>
      </c>
    </row>
    <row r="25">
      <c r="A25" s="12" t="inlineStr">
        <is>
          <t>补充剂（随总量等比缩放）</t>
        </is>
      </c>
    </row>
    <row r="26">
      <c r="A26" s="6" t="inlineStr">
        <is>
          <t>补充剂</t>
        </is>
      </c>
      <c r="B26" s="6" t="inlineStr">
        <is>
          <t>标准用量</t>
        </is>
      </c>
      <c r="C26" s="6" t="inlineStr">
        <is>
          <t>当前用量</t>
        </is>
      </c>
    </row>
    <row r="27">
      <c r="A27" s="7" t="inlineStr">
        <is>
          <t>碳酸钙粉</t>
        </is>
      </c>
      <c r="B27" s="7" t="inlineStr">
        <is>
          <t>18g</t>
        </is>
      </c>
      <c r="C27" s="15">
        <f>ROUND(18.0*B5/3168,1)</f>
        <v/>
      </c>
    </row>
    <row r="28">
      <c r="A28" s="7" t="inlineStr">
        <is>
          <t>牛磺酸粉</t>
        </is>
      </c>
      <c r="B28" s="7" t="inlineStr">
        <is>
          <t>3g</t>
        </is>
      </c>
      <c r="C28" s="15">
        <f>ROUND(3.0*B5/3168,1)</f>
        <v/>
      </c>
    </row>
    <row r="29">
      <c r="A29" s="7" t="inlineStr">
        <is>
          <t>鱼油胶囊 10粒</t>
        </is>
      </c>
      <c r="B29" s="7" t="inlineStr">
        <is>
          <t>10粒</t>
        </is>
      </c>
      <c r="C29" s="15">
        <f>ROUND(10.0*B5/3168,1)</f>
        <v/>
      </c>
    </row>
    <row r="30">
      <c r="A30" s="7" t="inlineStr">
        <is>
          <t>维生素D3 1000IU</t>
        </is>
      </c>
      <c r="B30" s="7" t="inlineStr">
        <is>
          <t>1粒</t>
        </is>
      </c>
      <c r="C30" s="15">
        <f>ROUND(1.0*B5/3168,1)</f>
        <v/>
      </c>
    </row>
    <row r="31">
      <c r="A31" s="7" t="inlineStr">
        <is>
          <t>维生素E 100IU×2</t>
        </is>
      </c>
      <c r="B31" s="7" t="inlineStr">
        <is>
          <t>2粒</t>
        </is>
      </c>
      <c r="C31" s="15">
        <f>ROUND(2.0*B5/3168,1)</f>
        <v/>
      </c>
    </row>
    <row r="32">
      <c r="A32" s="7" t="inlineStr">
        <is>
          <t>维生素B族 B-50</t>
        </is>
      </c>
      <c r="B32" s="7" t="inlineStr">
        <is>
          <t>0.5片</t>
        </is>
      </c>
      <c r="C32" s="15">
        <f>ROUND(0.5*B5/3168,1)</f>
        <v/>
      </c>
    </row>
    <row r="33">
      <c r="A33" s="7" t="inlineStr">
        <is>
          <t>海带碘 225mcg×7</t>
        </is>
      </c>
      <c r="B33" s="7" t="inlineStr">
        <is>
          <t>7粒</t>
        </is>
      </c>
      <c r="C33" s="15">
        <f>ROUND(7.0*B5/3168,1)</f>
        <v/>
      </c>
    </row>
    <row r="34">
      <c r="A34" s="7" t="inlineStr">
        <is>
          <t>碘盐</t>
        </is>
      </c>
      <c r="B34" s="7" t="inlineStr">
        <is>
          <t>3g</t>
        </is>
      </c>
      <c r="C34" s="15">
        <f>ROUND(3.0*B5/3168,1)</f>
        <v/>
      </c>
    </row>
    <row r="35">
      <c r="A35" s="7" t="inlineStr">
        <is>
          <t>锌片 30mg</t>
        </is>
      </c>
      <c r="B35" s="7" t="inlineStr">
        <is>
          <t>0.5粒</t>
        </is>
      </c>
      <c r="C35" s="15">
        <f>ROUND(0.5*B5/3168,1)</f>
        <v/>
      </c>
    </row>
    <row r="36">
      <c r="A36" s="7" t="inlineStr">
        <is>
          <t>螯合铁 36mg</t>
        </is>
      </c>
      <c r="B36" s="7" t="inlineStr">
        <is>
          <t>0.5粒</t>
        </is>
      </c>
      <c r="C36" s="15">
        <f>ROUND(0.5*B5/3168,1)</f>
        <v/>
      </c>
    </row>
    <row r="37">
      <c r="A37" s="7" t="inlineStr">
        <is>
          <t>锰片 10mg</t>
        </is>
      </c>
      <c r="B37" s="7" t="inlineStr">
        <is>
          <t>0.5粒</t>
        </is>
      </c>
      <c r="C37" s="15">
        <f>ROUND(0.5*B5/3168,1)</f>
        <v/>
      </c>
    </row>
    <row r="40">
      <c r="A40" s="12" t="inlineStr">
        <is>
          <t>29项NRC营养校验（每1000kcal）</t>
        </is>
      </c>
    </row>
    <row r="41">
      <c r="A41" s="6" t="inlineStr">
        <is>
          <t>营养素</t>
        </is>
      </c>
      <c r="B41" s="6" t="inlineStr">
        <is>
          <t>食材总量</t>
        </is>
      </c>
      <c r="C41" s="6" t="inlineStr">
        <is>
          <t>补充剂</t>
        </is>
      </c>
      <c r="D41" s="6" t="inlineStr">
        <is>
          <t>合计</t>
        </is>
      </c>
      <c r="E41" s="6" t="inlineStr">
        <is>
          <t>每1000kcal</t>
        </is>
      </c>
      <c r="F41" s="6" t="inlineStr">
        <is>
          <t>NRC下限</t>
        </is>
      </c>
      <c r="G41" s="6" t="inlineStr">
        <is>
          <t>NRC上限</t>
        </is>
      </c>
      <c r="H41" s="6" t="inlineStr">
        <is>
          <t>状态</t>
        </is>
      </c>
    </row>
    <row r="42">
      <c r="A42" s="7" t="inlineStr">
        <is>
          <t>蛋白质(g)</t>
        </is>
      </c>
      <c r="B42" s="13">
        <f>D8/100*19.6+D9/100*21.1+D10/100*15.6+D11/100*17.7+D12/100*12.6+D13/100*16.9+D14/100*20.4+D15/100*19.29+D16/100*13.3+D17/100*18.28</f>
        <v/>
      </c>
      <c r="C42" s="13" t="n">
        <v>0</v>
      </c>
      <c r="D42" s="13">
        <f>B42+C42</f>
        <v/>
      </c>
      <c r="E42" s="13">
        <f>D42/B22*1000</f>
        <v/>
      </c>
      <c r="F42" s="13" t="n">
        <v>50</v>
      </c>
      <c r="G42" s="13" t="inlineStr">
        <is>
          <t>—</t>
        </is>
      </c>
      <c r="H42" s="16">
        <f>IF(E42&gt;=50,"✅","❌")</f>
        <v/>
      </c>
    </row>
    <row r="43">
      <c r="A43" s="7" t="inlineStr">
        <is>
          <t>脂肪(g)</t>
        </is>
      </c>
      <c r="B43" s="13">
        <f>D8/100*4.3+D9/100*6.9+D10/100*9.3+D11/100*3.9+D12/100*9.9+D13/100*4.8+D14/100*3.6+D15/100*6.3+D16/100*32.4+D17/100*5.95</f>
        <v/>
      </c>
      <c r="C43" s="13" t="n">
        <v>0</v>
      </c>
      <c r="D43" s="13">
        <f>B43+C43</f>
        <v/>
      </c>
      <c r="E43" s="13">
        <f>D43/B22*1000</f>
        <v/>
      </c>
      <c r="F43" s="13" t="n">
        <v>22.5</v>
      </c>
      <c r="G43" s="13" t="inlineStr">
        <is>
          <t>—</t>
        </is>
      </c>
      <c r="H43" s="16">
        <f>IF(E43&gt;=22.5,"✅","❌")</f>
        <v/>
      </c>
    </row>
    <row r="44">
      <c r="A44" s="7" t="inlineStr">
        <is>
          <t>钙(mg)</t>
        </is>
      </c>
      <c r="B44" s="13">
        <f>D8/100*9+D9/100*5+D10/100*12+D11/100*7+D12/100*56+D13/100*8+D14/100*5+D15/100*11+D16/100*11+D17/100*11</f>
        <v/>
      </c>
      <c r="C44" s="13">
        <f>ROUND(7207.2*B5/3168,1)</f>
        <v/>
      </c>
      <c r="D44" s="13">
        <f>B44+C44</f>
        <v/>
      </c>
      <c r="E44" s="13">
        <f>D44/B22*1000</f>
        <v/>
      </c>
      <c r="F44" s="13" t="n">
        <v>720</v>
      </c>
      <c r="G44" s="13" t="n">
        <v>3000</v>
      </c>
      <c r="H44" s="16">
        <f>IF(AND(E44&gt;=720,E44&lt;=3000),"✅","❌")</f>
        <v/>
      </c>
    </row>
    <row r="45">
      <c r="A45" s="7" t="inlineStr">
        <is>
          <t>磷(mg)</t>
        </is>
      </c>
      <c r="B45" s="13">
        <f>D8/100*178+D9/100*197+D10/100*177+D11/100*212+D12/100*198+D13/100*297+D14/100*387+D15/100*171+D16/100*68+D17/100*203</f>
        <v/>
      </c>
      <c r="C45" s="13" t="n">
        <v>0</v>
      </c>
      <c r="D45" s="13">
        <f>B45+C45</f>
        <v/>
      </c>
      <c r="E45" s="13">
        <f>D45/B22*1000</f>
        <v/>
      </c>
      <c r="F45" s="13" t="n">
        <v>640</v>
      </c>
      <c r="G45" s="13" t="inlineStr">
        <is>
          <t>—</t>
        </is>
      </c>
      <c r="H45" s="16">
        <f>IF(E45&gt;=640,"✅","❌")</f>
        <v/>
      </c>
    </row>
    <row r="46">
      <c r="A46" s="7" t="inlineStr">
        <is>
          <t>钾(mg)</t>
        </is>
      </c>
      <c r="B46" s="13">
        <f>D8/100*242+D9/100*389+D10/100*176.066+D11/100*286.984+D12/100*138+D13/100*230+D14/100*313+D15/100*446+D16/100*119+D17/100*271</f>
        <v/>
      </c>
      <c r="C46" s="13" t="n">
        <v>0</v>
      </c>
      <c r="D46" s="13">
        <f>B46+C46</f>
        <v/>
      </c>
      <c r="E46" s="13">
        <f>D46/B22*1000</f>
        <v/>
      </c>
      <c r="F46" s="13" t="n">
        <v>1300</v>
      </c>
      <c r="G46" s="13" t="inlineStr">
        <is>
          <t>—</t>
        </is>
      </c>
      <c r="H46" s="16">
        <f>IF(E46&gt;=1300,"✅","❌")</f>
        <v/>
      </c>
    </row>
    <row r="47">
      <c r="A47" s="7" t="inlineStr">
        <is>
          <t>钠(mg)</t>
        </is>
      </c>
      <c r="B47" s="13">
        <f>D8/100*95+D9/100*52+D10/100*73.934+D11/100*97.989+D12/100*142+D13/100*71+D14/100*69+D15/100*59+D16/100*51+D17/100*74</f>
        <v/>
      </c>
      <c r="C47" s="13">
        <f>ROUND(1180.2*B5/3168,1)</f>
        <v/>
      </c>
      <c r="D47" s="13">
        <f>B47+C47</f>
        <v/>
      </c>
      <c r="E47" s="13">
        <f>D47/B22*1000</f>
        <v/>
      </c>
      <c r="F47" s="13" t="n">
        <v>170</v>
      </c>
      <c r="G47" s="13" t="inlineStr">
        <is>
          <t>—</t>
        </is>
      </c>
      <c r="H47" s="16">
        <f>IF(E47&gt;=170,"✅","❌")</f>
        <v/>
      </c>
    </row>
    <row r="48">
      <c r="A48" s="7" t="inlineStr">
        <is>
          <t>氯化物(mg)</t>
        </is>
      </c>
      <c r="B48" s="13" t="n">
        <v>0</v>
      </c>
      <c r="C48" s="13">
        <f>ROUND(1819.8000000000002*B5/3168,1)</f>
        <v/>
      </c>
      <c r="D48" s="13">
        <f>B48+C48</f>
        <v/>
      </c>
      <c r="E48" s="13">
        <f>D48/B22*1000</f>
        <v/>
      </c>
      <c r="F48" s="13" t="n">
        <v>240</v>
      </c>
      <c r="G48" s="13" t="inlineStr">
        <is>
          <t>—</t>
        </is>
      </c>
      <c r="H48" s="16">
        <f>IF(E48&gt;=240,"✅","❌")</f>
        <v/>
      </c>
    </row>
    <row r="49">
      <c r="A49" s="7" t="inlineStr">
        <is>
          <t>镁(mg)</t>
        </is>
      </c>
      <c r="B49" s="13">
        <f>D8/100*23+D9/100*25+D10/100*15+D11/100*21+D12/100*12+D13/100*19+D14/100*20+D15/100*33+D16/100*10+D17/100*20</f>
        <v/>
      </c>
      <c r="C49" s="13" t="n">
        <v>0</v>
      </c>
      <c r="D49" s="13">
        <f>B49+C49</f>
        <v/>
      </c>
      <c r="E49" s="13">
        <f>D49/B22*1000</f>
        <v/>
      </c>
      <c r="F49" s="13" t="n">
        <v>100</v>
      </c>
      <c r="G49" s="13" t="inlineStr">
        <is>
          <t>—</t>
        </is>
      </c>
      <c r="H49" s="16">
        <f>IF(E49&gt;=100,"✅","❌")</f>
        <v/>
      </c>
    </row>
    <row r="50">
      <c r="A50" s="7" t="inlineStr">
        <is>
          <t>铁(mg)</t>
        </is>
      </c>
      <c r="B50" s="13">
        <f>D8/100*0.8+D9/100*0.8+D10/100*5.9+D11/100*4.3+D12/100*1.8+D13/100*9.0+D14/100*4.9+D15/100*0.44+D16/100*0.7+D17/100*2.4</f>
        <v/>
      </c>
      <c r="C50" s="13">
        <f>ROUND(18.0*B5/3168,1)</f>
        <v/>
      </c>
      <c r="D50" s="13">
        <f>B50+C50</f>
        <v/>
      </c>
      <c r="E50" s="13">
        <f>D50/B22*1000</f>
        <v/>
      </c>
      <c r="F50" s="13" t="n">
        <v>20</v>
      </c>
      <c r="G50" s="13" t="inlineStr">
        <is>
          <t>—</t>
        </is>
      </c>
      <c r="H50" s="16">
        <f>IF(E50&gt;=20,"✅","❌")</f>
        <v/>
      </c>
    </row>
    <row r="51">
      <c r="A51" s="7" t="inlineStr">
        <is>
          <t>锌(mg)</t>
        </is>
      </c>
      <c r="B51" s="13">
        <f>D8/100*1.8+D9/100*1.9+D10/100*6.6+D11/100*2.4+D12/100*1.3+D13/100*2.7+D14/100*4.0+D15/100*0.51+D16/100*0.6+D17/100*1.9</f>
        <v/>
      </c>
      <c r="C51" s="13">
        <f>ROUND(15.0*B5/3168,1)</f>
        <v/>
      </c>
      <c r="D51" s="13">
        <f>B51+C51</f>
        <v/>
      </c>
      <c r="E51" s="13">
        <f>D51/B22*1000</f>
        <v/>
      </c>
      <c r="F51" s="13" t="n">
        <v>18.5</v>
      </c>
      <c r="G51" s="13" t="inlineStr">
        <is>
          <t>—</t>
        </is>
      </c>
      <c r="H51" s="16">
        <f>IF(E51&gt;=18.5,"✅","❌")</f>
        <v/>
      </c>
    </row>
    <row r="52">
      <c r="A52" s="7" t="inlineStr">
        <is>
          <t>铜(mg)</t>
        </is>
      </c>
      <c r="B52" s="13">
        <f>D8/100*0.06+D9/100*0.06+D10/100*0.33+D11/100*0.39+D12/100*0.07+D13/100*0.49+D14/100*9.76+D15/100*0.046+D16/100*0.02+D17/100*0.24</f>
        <v/>
      </c>
      <c r="C52" s="13" t="n">
        <v>0</v>
      </c>
      <c r="D52" s="13">
        <f>B52+C52</f>
        <v/>
      </c>
      <c r="E52" s="13">
        <f>D52/B22*1000</f>
        <v/>
      </c>
      <c r="F52" s="13" t="n">
        <v>1.2</v>
      </c>
      <c r="G52" s="13" t="inlineStr">
        <is>
          <t>—</t>
        </is>
      </c>
      <c r="H52" s="16">
        <f>IF(E52&gt;=1.2,"✅","❌")</f>
        <v/>
      </c>
    </row>
    <row r="53">
      <c r="A53" s="7" t="inlineStr">
        <is>
          <t>锰(mg)</t>
        </is>
      </c>
      <c r="B53" s="13">
        <f>D8/100*0.02+D9/100*0.01+D10/100*0.05+D11/100*0.03+D12/100*0.03+D13/100*0.26+D14/100*0.31+D15/100*0.015+D16/100*0.01+D17/100*0.02</f>
        <v/>
      </c>
      <c r="C53" s="13">
        <f>ROUND(5.0*B5/3168,1)</f>
        <v/>
      </c>
      <c r="D53" s="13">
        <f>B53+C53</f>
        <v/>
      </c>
      <c r="E53" s="13">
        <f>D53/B22*1000</f>
        <v/>
      </c>
      <c r="F53" s="13" t="n">
        <v>1.2</v>
      </c>
      <c r="G53" s="13" t="inlineStr">
        <is>
          <t>—</t>
        </is>
      </c>
      <c r="H53" s="16">
        <f>IF(E53&gt;=1.2,"✅","❌")</f>
        <v/>
      </c>
    </row>
    <row r="54">
      <c r="A54" s="7" t="inlineStr">
        <is>
          <t>碘(mcg)</t>
        </is>
      </c>
      <c r="B54" s="13">
        <f>D8/100*1+D9/100*1+D10/100*5+D11/100*5+D12/100*27+D13/100*3+D14/100*3+D15/100*35+D16/100*1+D17/100*1</f>
        <v/>
      </c>
      <c r="C54" s="13">
        <f>ROUND(1650*B5/3168,1)</f>
        <v/>
      </c>
      <c r="D54" s="13">
        <f>B54+C54</f>
        <v/>
      </c>
      <c r="E54" s="13">
        <f>D54/B22*1000</f>
        <v/>
      </c>
      <c r="F54" s="13" t="n">
        <v>350</v>
      </c>
      <c r="G54" s="13" t="n">
        <v>9000</v>
      </c>
      <c r="H54" s="16">
        <f>IF(AND(E54&gt;=350,E54&lt;=9000),"✅","❌")</f>
        <v/>
      </c>
    </row>
    <row r="55">
      <c r="A55" s="7" t="inlineStr">
        <is>
          <t>硒(mcg)</t>
        </is>
      </c>
      <c r="B55" s="13">
        <f>D8/100*23.0+D9/100*32.5+D10/100*16.0+D11/100*21.8+D12/100*30.7+D13/100*54.6+D14/100*39.7+D15/100*36.5+D16/100*14.1+D17/100*14.0</f>
        <v/>
      </c>
      <c r="C55" s="13" t="n">
        <v>0</v>
      </c>
      <c r="D55" s="13">
        <f>B55+C55</f>
        <v/>
      </c>
      <c r="E55" s="13">
        <f>D55/B22*1000</f>
        <v/>
      </c>
      <c r="F55" s="13" t="n">
        <v>75</v>
      </c>
      <c r="G55" s="13" t="inlineStr">
        <is>
          <t>—</t>
        </is>
      </c>
      <c r="H55" s="16">
        <f>IF(E55&gt;=75,"✅","❌")</f>
        <v/>
      </c>
    </row>
    <row r="56">
      <c r="A56" s="7" t="inlineStr">
        <is>
          <t>牛磺酸(mg)</t>
        </is>
      </c>
      <c r="B56" s="13">
        <f>D8/100*40+D9/100*50+D10/100*145+D11/100*160+D12/100*20+D13/100*30+D14/100*40+D15/100*70+D16/100*10</f>
        <v/>
      </c>
      <c r="C56" s="13">
        <f>ROUND(3000*B5/3168,1)</f>
        <v/>
      </c>
      <c r="D56" s="13">
        <f>B56*0.4+C56</f>
        <v/>
      </c>
      <c r="E56" s="13">
        <f>D56/B22*1000</f>
        <v/>
      </c>
      <c r="F56" s="13" t="n">
        <v>250</v>
      </c>
      <c r="G56" s="13" t="inlineStr">
        <is>
          <t>—</t>
        </is>
      </c>
      <c r="H56" s="16">
        <f>IF(E56&gt;=250,"✅","❌")</f>
        <v/>
      </c>
    </row>
    <row r="57">
      <c r="A57" s="7" t="inlineStr">
        <is>
          <t>VA(IU)</t>
        </is>
      </c>
      <c r="B57" s="13">
        <f>D8/100*50+D9/100*7+D10/100*31+D12/100*520+D13/100*11078+D14/100*16898+D15/100*98+D16/100*150+D17/100*80</f>
        <v/>
      </c>
      <c r="C57" s="13" t="n">
        <v>0</v>
      </c>
      <c r="D57" s="13">
        <f>B57+C57</f>
        <v/>
      </c>
      <c r="E57" s="13">
        <f>D57/B22*1000</f>
        <v/>
      </c>
      <c r="F57" s="13" t="n">
        <v>3333</v>
      </c>
      <c r="G57" s="13" t="n">
        <v>333333</v>
      </c>
      <c r="H57" s="16">
        <f>IF(AND(E57&gt;=3333,E57&lt;=333333),"✅","❌")</f>
        <v/>
      </c>
    </row>
    <row r="58">
      <c r="A58" s="7" t="inlineStr">
        <is>
          <t>VD(IU)</t>
        </is>
      </c>
      <c r="B58" s="13">
        <f>D9/100*12+D12/100*82+D13/100*8+D14/100*49+D15/100*292+D16/100*24+D17/100*4</f>
        <v/>
      </c>
      <c r="C58" s="13">
        <f>ROUND(1000*B5/3168,1)</f>
        <v/>
      </c>
      <c r="D58" s="13">
        <f>B58+C58</f>
        <v/>
      </c>
      <c r="E58" s="13">
        <f>D58/B22*1000</f>
        <v/>
      </c>
      <c r="F58" s="13" t="n">
        <v>70</v>
      </c>
      <c r="G58" s="13" t="n">
        <v>7500</v>
      </c>
      <c r="H58" s="16">
        <f>IF(AND(E58&gt;=70,E58&lt;=7500),"✅","❌")</f>
        <v/>
      </c>
    </row>
    <row r="59">
      <c r="A59" s="7" t="inlineStr">
        <is>
          <t>VE(mg)</t>
        </is>
      </c>
      <c r="B59" s="13">
        <f>D8/100*0.2+D9/100*0.5+D10/100*0.7+D11/100*0.2+D12/100*1.1+D13/100*0.7+D14/100*0.5+D15/100*0.42+D16/100*0.3+D17/100*0.7</f>
        <v/>
      </c>
      <c r="C59" s="13">
        <f>ROUND(134.22*B5/3168,1)</f>
        <v/>
      </c>
      <c r="D59" s="13">
        <f>B59+C59</f>
        <v/>
      </c>
      <c r="E59" s="13">
        <f>D59/B22*1000</f>
        <v/>
      </c>
      <c r="F59" s="13" t="n">
        <v>10</v>
      </c>
      <c r="G59" s="13" t="inlineStr">
        <is>
          <t>—</t>
        </is>
      </c>
      <c r="H59" s="16">
        <f>IF(E59&gt;=10,"✅","❌")</f>
        <v/>
      </c>
    </row>
    <row r="60">
      <c r="A60" s="7" t="inlineStr">
        <is>
          <t>VB1(mg)</t>
        </is>
      </c>
      <c r="B60" s="13">
        <f>D8/100*0.07+D9/100*0.81+D10/100*0.13+D11/100*0.24+D12/100*0.04+D13/100*0.31+D14/100*0.19+D15/100*0.068+D16/100*0.01+D17/100*0.36</f>
        <v/>
      </c>
      <c r="C60" s="13">
        <f>ROUND(25.0*B5/3168,1)</f>
        <v/>
      </c>
      <c r="D60" s="13">
        <f>B60+C60</f>
        <v/>
      </c>
      <c r="E60" s="13">
        <f>D60/B22*1000</f>
        <v/>
      </c>
      <c r="F60" s="13" t="n">
        <v>1.4</v>
      </c>
      <c r="G60" s="13" t="inlineStr">
        <is>
          <t>—</t>
        </is>
      </c>
      <c r="H60" s="16">
        <f>IF(E60&gt;=1.4,"✅","❌")</f>
        <v/>
      </c>
    </row>
    <row r="61">
      <c r="A61" s="7" t="inlineStr">
        <is>
          <t>VB2(mg)</t>
        </is>
      </c>
      <c r="B61" s="13">
        <f>D8/100*0.16+D9/100*0.23+D10/100*0.73+D11/100*0.91+D12/100*0.46+D13/100*1.78+D14/100*2.76+D15/100*0.13+D16/100*0.07+D17/100*0.47</f>
        <v/>
      </c>
      <c r="C61" s="13">
        <f>ROUND(25.0*B5/3168,1)</f>
        <v/>
      </c>
      <c r="D61" s="13">
        <f>B61+C61</f>
        <v/>
      </c>
      <c r="E61" s="13">
        <f>D61/B22*1000</f>
        <v/>
      </c>
      <c r="F61" s="13" t="n">
        <v>1</v>
      </c>
      <c r="G61" s="13" t="inlineStr">
        <is>
          <t>—</t>
        </is>
      </c>
      <c r="H61" s="16">
        <f>IF(E61&gt;=1.0,"✅","❌")</f>
        <v/>
      </c>
    </row>
    <row r="62">
      <c r="A62" s="7" t="inlineStr">
        <is>
          <t>VB3(mg)</t>
        </is>
      </c>
      <c r="B62" s="13">
        <f>D8/100*5.3+D9/100*5.0+D10/100*4.8+D11/100*7.4+D12/100*0.1+D13/100*9.7+D14/100*13.2+D15/100*8.47+D16/100*2.5+D17/100*5.3</f>
        <v/>
      </c>
      <c r="C62" s="13">
        <f>ROUND(25.0*B5/3168,1)</f>
        <v/>
      </c>
      <c r="D62" s="13">
        <f>B62+C62</f>
        <v/>
      </c>
      <c r="E62" s="13">
        <f>D62/B22*1000</f>
        <v/>
      </c>
      <c r="F62" s="13" t="n">
        <v>10</v>
      </c>
      <c r="G62" s="13" t="inlineStr">
        <is>
          <t>—</t>
        </is>
      </c>
      <c r="H62" s="16">
        <f>IF(E62&gt;=10,"✅","❌")</f>
        <v/>
      </c>
    </row>
    <row r="63">
      <c r="A63" s="7" t="inlineStr">
        <is>
          <t>VB6(mg)</t>
        </is>
      </c>
      <c r="B63" s="13">
        <f>D8/100*0.33+D9/100*0.42+D10/100*0.29+D11/100*0.28+D12/100*0.14+D13/100*0.85+D14/100*1.08+D15/100*0.315+D16/100*0.05+D17/100*0.34</f>
        <v/>
      </c>
      <c r="C63" s="13">
        <f>ROUND(25.0*B5/3168,1)</f>
        <v/>
      </c>
      <c r="D63" s="13">
        <f>B63+C63</f>
        <v/>
      </c>
      <c r="E63" s="13">
        <f>D63/B22*1000</f>
        <v/>
      </c>
      <c r="F63" s="13" t="n">
        <v>0.625</v>
      </c>
      <c r="G63" s="13" t="inlineStr">
        <is>
          <t>—</t>
        </is>
      </c>
      <c r="H63" s="16">
        <f>IF(E63&gt;=0.625,"✅","❌")</f>
        <v/>
      </c>
    </row>
    <row r="64">
      <c r="A64" s="7" t="inlineStr">
        <is>
          <t>VB12(mcg)</t>
        </is>
      </c>
      <c r="B64" s="13">
        <f>D8/100*0.4+D9/100*0.6+D10/100*7.3+D11/100*8.6+D12/100*0.9+D13/100*16.6+D14/100*59.3+D15/100*7.4+D16/100*0.3+D17/100*0.4</f>
        <v/>
      </c>
      <c r="C64" s="13">
        <f>ROUND(25.0*B5/3168,1)</f>
        <v/>
      </c>
      <c r="D64" s="13">
        <f>B64+C64</f>
        <v/>
      </c>
      <c r="E64" s="13">
        <f>D64/B22*1000</f>
        <v/>
      </c>
      <c r="F64" s="13" t="n">
        <v>5.6</v>
      </c>
      <c r="G64" s="13" t="inlineStr">
        <is>
          <t>—</t>
        </is>
      </c>
      <c r="H64" s="16">
        <f>IF(E64&gt;=5.6,"✅","❌")</f>
        <v/>
      </c>
    </row>
    <row r="65">
      <c r="A65" s="7" t="inlineStr">
        <is>
          <t>胆碱(mg)</t>
        </is>
      </c>
      <c r="B65" s="13">
        <f>D8/100*65+D9/100*80+D10/100*65+D11/100*150+D12/100*293+D13/100*290+D14/100*333+D15/100*65+D16/100*46+D17/100*64</f>
        <v/>
      </c>
      <c r="C65" s="13" t="n">
        <v>0</v>
      </c>
      <c r="D65" s="13">
        <f>B65+C65</f>
        <v/>
      </c>
      <c r="E65" s="13">
        <f>D65/B22*1000</f>
        <v/>
      </c>
      <c r="F65" s="13" t="n">
        <v>637</v>
      </c>
      <c r="G65" s="13" t="inlineStr">
        <is>
          <t>—</t>
        </is>
      </c>
      <c r="H65" s="16">
        <f>IF(E65&gt;=637,"✅","❌")</f>
        <v/>
      </c>
    </row>
    <row r="66">
      <c r="A66" s="7" t="inlineStr">
        <is>
          <t>叶酸(mcg)</t>
        </is>
      </c>
      <c r="B66" s="13">
        <f>D8/100*6+D9/100*1+D10/100*72+D11/100*3+D12/100*47+D13/100*588+D14/100*290+D15/100*2+D16/100*1+D17/100*25</f>
        <v/>
      </c>
      <c r="C66" s="13">
        <f>ROUND(200.0*B5/3168,1)</f>
        <v/>
      </c>
      <c r="D66" s="13">
        <f>B66+C66</f>
        <v/>
      </c>
      <c r="E66" s="13">
        <f>D66/B22*1000</f>
        <v/>
      </c>
      <c r="F66" s="13" t="n">
        <v>188</v>
      </c>
      <c r="G66" s="13" t="inlineStr">
        <is>
          <t>—</t>
        </is>
      </c>
      <c r="H66" s="16">
        <f>IF(E66&gt;=188,"✅","❌")</f>
        <v/>
      </c>
    </row>
    <row r="67">
      <c r="A67" s="7" t="inlineStr">
        <is>
          <t>泛酸(mg)</t>
        </is>
      </c>
      <c r="B67" s="13">
        <f>D8/100*1.01+D9/100*0.6+D10/100*2.51+D11/100*2.25+D12/100*1.53+D13/100*6.5+D14/100*7.17+D15/100*0.42+D16/100*0.53+D17/100*1.6</f>
        <v/>
      </c>
      <c r="C67" s="13">
        <f>ROUND(25.0*B5/3168,1)</f>
        <v/>
      </c>
      <c r="D67" s="13">
        <f>B67+C67</f>
        <v/>
      </c>
      <c r="E67" s="13">
        <f>D67/B22*1000</f>
        <v/>
      </c>
      <c r="F67" s="13" t="n">
        <v>1.44</v>
      </c>
      <c r="G67" s="13" t="inlineStr">
        <is>
          <t>—</t>
        </is>
      </c>
      <c r="H67" s="16">
        <f>IF(E67&gt;=1.44,"✅","❌")</f>
        <v/>
      </c>
    </row>
    <row r="68">
      <c r="A68" s="7" t="inlineStr">
        <is>
          <t>花生四烯酸(mg)</t>
        </is>
      </c>
      <c r="B68" s="13">
        <f>D8/100*50+D9/100*70+D10/100*84+D11/100*25+D12/100*155+D13/100*260+D14/100*200+D15/100*60+D16/100*250</f>
        <v/>
      </c>
      <c r="C68" s="13" t="n">
        <v>0</v>
      </c>
      <c r="D68" s="13">
        <f>B68+C68</f>
        <v/>
      </c>
      <c r="E68" s="13">
        <f>D68/B22*1000</f>
        <v/>
      </c>
      <c r="F68" s="13" t="n">
        <v>15</v>
      </c>
      <c r="G68" s="13" t="inlineStr">
        <is>
          <t>—</t>
        </is>
      </c>
      <c r="H68" s="16">
        <f>IF(E68&gt;=15,"✅","❌")</f>
        <v/>
      </c>
    </row>
    <row r="69">
      <c r="A69" s="7" t="inlineStr">
        <is>
          <t>EPA+DHA(mg)</t>
        </is>
      </c>
      <c r="B69" s="13">
        <f>D15/100*941</f>
        <v/>
      </c>
      <c r="C69" s="13">
        <f>ROUND(3000*B5/3168,1)</f>
        <v/>
      </c>
      <c r="D69" s="13">
        <f>B69+C69</f>
        <v/>
      </c>
      <c r="E69" s="13">
        <f>D69/B22*1000</f>
        <v/>
      </c>
      <c r="F69" s="13" t="n">
        <v>25</v>
      </c>
      <c r="G69" s="13" t="inlineStr">
        <is>
          <t>—</t>
        </is>
      </c>
      <c r="H69" s="16">
        <f>IF(E69&gt;=25,"✅","❌")</f>
        <v/>
      </c>
    </row>
    <row r="70">
      <c r="A70" s="7" t="inlineStr">
        <is>
          <t>亚油酸(g)</t>
        </is>
      </c>
      <c r="B70" s="13">
        <f>D8/100*0.748+D9/100*0.49+D10/100*1.918+D11/100*0.395+D12/100*1.554+D13/100*0.475+D14/100*0.299+D15/100*0.1+D16/100*8.288+D17/100*0.752</f>
        <v/>
      </c>
      <c r="C70" s="13" t="n">
        <v>0</v>
      </c>
      <c r="D70" s="13">
        <f>B70+C70</f>
        <v/>
      </c>
      <c r="E70" s="13">
        <f>D70/B22*1000</f>
        <v/>
      </c>
      <c r="F70" s="13" t="n">
        <v>1.4</v>
      </c>
      <c r="G70" s="13" t="inlineStr">
        <is>
          <t>—</t>
        </is>
      </c>
      <c r="H70" s="16">
        <f>IF(E70&gt;=1.4,"✅","❌")</f>
        <v/>
      </c>
    </row>
    <row r="72">
      <c r="A72" s="17" t="inlineStr">
        <is>
          <t>钙磷比</t>
        </is>
      </c>
      <c r="B72" s="14">
        <f>D45/D46</f>
        <v/>
      </c>
      <c r="C72" s="7" t="inlineStr">
        <is>
          <t>（NRC推荐 1.1–1.5）</t>
        </is>
      </c>
      <c r="E72" s="16">
        <f>IF(AND(B72&gt;=1.1,B72&lt;=1.5),"✅","❌")</f>
        <v/>
      </c>
    </row>
    <row r="73">
      <c r="A73" s="17" t="inlineStr">
        <is>
          <t>通过项数</t>
        </is>
      </c>
      <c r="B73" s="16">
        <f>COUNTIF(H43:H71,"✅")&amp;"/29"</f>
        <v/>
      </c>
    </row>
    <row r="75">
      <c r="A75" s="12" t="inlineStr">
        <is>
          <t>每日分配（参考）</t>
        </is>
      </c>
    </row>
    <row r="76">
      <c r="A76" s="6" t="inlineStr">
        <is>
          <t>猫</t>
        </is>
      </c>
      <c r="B76" s="6" t="inlineStr">
        <is>
          <t>干粮(g)</t>
        </is>
      </c>
      <c r="C76" s="6" t="inlineStr">
        <is>
          <t>猫饭(g)</t>
        </is>
      </c>
      <c r="D76" s="6" t="inlineStr">
        <is>
          <t>总热量(kcal)</t>
        </is>
      </c>
    </row>
    <row r="77">
      <c r="A77" s="7" t="inlineStr">
        <is>
          <t>公猫A (5.8kg)</t>
        </is>
      </c>
      <c r="B77" s="18" t="n">
        <v>30</v>
      </c>
      <c r="C77" s="18" t="n">
        <v>60</v>
      </c>
      <c r="D77" s="15">
        <f>30*4+60*B23</f>
        <v/>
      </c>
    </row>
    <row r="78">
      <c r="A78" s="7" t="inlineStr">
        <is>
          <t>母猫B (4.5kg)</t>
        </is>
      </c>
      <c r="B78" s="18" t="n">
        <v>30</v>
      </c>
      <c r="C78" s="18" t="n">
        <v>50</v>
      </c>
      <c r="D78" s="15">
        <f>30*4+50*B23</f>
        <v/>
      </c>
    </row>
    <row r="79">
      <c r="A79" s="7" t="inlineStr">
        <is>
          <t>幼猫C (2.5kg)</t>
        </is>
      </c>
      <c r="B79" s="18" t="n">
        <v>40</v>
      </c>
      <c r="C79" s="18" t="n">
        <v>80</v>
      </c>
      <c r="D79" s="15">
        <f>40*4+80*B23</f>
        <v/>
      </c>
    </row>
    <row r="81">
      <c r="A81" s="11" t="inlineStr">
        <is>
          <t>合计</t>
        </is>
      </c>
      <c r="D81" s="15">
        <f>SUM(D78:D80)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H8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4" customWidth="1" min="7" max="7"/>
  </cols>
  <sheetData>
    <row r="1">
      <c r="A1" s="1" t="inlineStr">
        <is>
          <t>🐱 B版：7%鸡皮+鸭胸版</t>
        </is>
      </c>
    </row>
    <row r="2">
      <c r="A2" s="2" t="inlineStr">
        <is>
          <t>基于 NRC 2006 · 鲅鱼体系 · 建议每批补1粒VD3(不补也达标)</t>
        </is>
      </c>
    </row>
    <row r="4">
      <c r="A4" s="3" t="inlineStr">
        <is>
          <t>⬇ 修改这里的总原料量</t>
        </is>
      </c>
    </row>
    <row r="5">
      <c r="A5" s="4" t="inlineStr">
        <is>
          <t>总原料量(g)</t>
        </is>
      </c>
      <c r="B5" s="5" t="n">
        <v>3168</v>
      </c>
    </row>
    <row r="7">
      <c r="A7" s="6" t="inlineStr">
        <is>
          <t>食材</t>
        </is>
      </c>
      <c r="B7" s="6" t="inlineStr">
        <is>
          <t>占比</t>
        </is>
      </c>
      <c r="C7" s="6" t="inlineStr">
        <is>
          <t>标准用量(g)</t>
        </is>
      </c>
      <c r="D7" s="6" t="inlineStr">
        <is>
          <t>当前用量(g)</t>
        </is>
      </c>
    </row>
    <row r="8">
      <c r="A8" s="7" t="inlineStr">
        <is>
          <t>鸡腿肉</t>
        </is>
      </c>
      <c r="B8" s="8" t="n">
        <v>0.09089999999999999</v>
      </c>
      <c r="C8" s="9" t="n">
        <v>288</v>
      </c>
      <c r="D8" s="10">
        <f>ROUND(B5*0.09090909090909091,0)</f>
        <v/>
      </c>
    </row>
    <row r="9">
      <c r="A9" s="7" t="inlineStr">
        <is>
          <t>猪瘦肉</t>
        </is>
      </c>
      <c r="B9" s="8" t="n">
        <v>0.1894</v>
      </c>
      <c r="C9" s="9" t="n">
        <v>600</v>
      </c>
      <c r="D9" s="10">
        <f>ROUND(B5*0.1893939393939394,0)</f>
        <v/>
      </c>
    </row>
    <row r="10">
      <c r="A10" s="7" t="inlineStr">
        <is>
          <t>鸡心</t>
        </is>
      </c>
      <c r="B10" s="8" t="n">
        <v>0.1294</v>
      </c>
      <c r="C10" s="9" t="n">
        <v>410</v>
      </c>
      <c r="D10" s="10">
        <f>ROUND(B5*0.1294191919191919,0)</f>
        <v/>
      </c>
    </row>
    <row r="11">
      <c r="A11" s="7" t="inlineStr">
        <is>
          <t>牛心</t>
        </is>
      </c>
      <c r="B11" s="8" t="n">
        <v>0.1405</v>
      </c>
      <c r="C11" s="9" t="n">
        <v>445</v>
      </c>
      <c r="D11" s="10">
        <f>ROUND(B5*0.1404671717171717,0)</f>
        <v/>
      </c>
    </row>
    <row r="12">
      <c r="A12" s="7" t="inlineStr">
        <is>
          <t>鸡蛋</t>
        </is>
      </c>
      <c r="B12" s="8" t="n">
        <v>0.08019999999999999</v>
      </c>
      <c r="C12" s="9" t="n">
        <v>254</v>
      </c>
      <c r="D12" s="10">
        <f>ROUND(B5*0.08017676767676768,0)</f>
        <v/>
      </c>
    </row>
    <row r="13">
      <c r="A13" s="7" t="inlineStr">
        <is>
          <t>鸡肝</t>
        </is>
      </c>
      <c r="B13" s="8" t="n">
        <v>0.0401</v>
      </c>
      <c r="C13" s="9" t="n">
        <v>127</v>
      </c>
      <c r="D13" s="10">
        <f>ROUND(B5*0.04008838383838384,0)</f>
        <v/>
      </c>
    </row>
    <row r="14">
      <c r="A14" s="7" t="inlineStr">
        <is>
          <t>牛肝</t>
        </is>
      </c>
      <c r="B14" s="8" t="n">
        <v>0.03</v>
      </c>
      <c r="C14" s="9" t="n">
        <v>95</v>
      </c>
      <c r="D14" s="10">
        <f>ROUND(B5*0.029987373737373736,0)</f>
        <v/>
      </c>
    </row>
    <row r="15">
      <c r="A15" s="7" t="inlineStr">
        <is>
          <t>鲅鱼</t>
        </is>
      </c>
      <c r="B15" s="8" t="n">
        <v>0.0401</v>
      </c>
      <c r="C15" s="9" t="n">
        <v>127</v>
      </c>
      <c r="D15" s="10">
        <f>ROUND(B5*0.04008838383838384,0)</f>
        <v/>
      </c>
    </row>
    <row r="16">
      <c r="A16" s="7" t="inlineStr">
        <is>
          <t>鸡皮</t>
        </is>
      </c>
      <c r="B16" s="8" t="n">
        <v>0.0701</v>
      </c>
      <c r="C16" s="9" t="n">
        <v>222</v>
      </c>
      <c r="D16" s="10">
        <f>ROUND(B5*0.07007575757575757,0)</f>
        <v/>
      </c>
    </row>
    <row r="17">
      <c r="A17" s="7" t="inlineStr">
        <is>
          <t>鸭胸</t>
        </is>
      </c>
      <c r="B17" s="8" t="n">
        <v>0.1894</v>
      </c>
      <c r="C17" s="9" t="n">
        <v>600</v>
      </c>
      <c r="D17" s="10">
        <f>ROUND(B5*0.1893939393939394,0)</f>
        <v/>
      </c>
    </row>
    <row r="18">
      <c r="A18" s="11" t="inlineStr">
        <is>
          <t>合计</t>
        </is>
      </c>
      <c r="D18" s="9">
        <f>SUM(D8:D17)</f>
        <v/>
      </c>
    </row>
    <row r="20">
      <c r="A20" s="12" t="inlineStr">
        <is>
          <t>基础结果</t>
        </is>
      </c>
    </row>
    <row r="21">
      <c r="A21" s="7" t="inlineStr">
        <is>
          <t>成品重量(g)(90%出成率)</t>
        </is>
      </c>
      <c r="B21" s="13">
        <f>B5*0.9</f>
        <v/>
      </c>
    </row>
    <row r="22">
      <c r="A22" s="7" t="inlineStr">
        <is>
          <t>总能量(kcal)</t>
        </is>
      </c>
      <c r="B22" s="13">
        <f>D8/100*119+D9/100*143+D10/100*153+D11/100*112+D12/100*143+D13/100*119+D14/100*135+D15/100*139+D16/100*349+D17/100*135+90*B5/3168</f>
        <v/>
      </c>
    </row>
    <row r="23">
      <c r="A23" s="7" t="inlineStr">
        <is>
          <t>能量密度(kcal/g)</t>
        </is>
      </c>
      <c r="B23" s="14">
        <f>B22/B21</f>
        <v/>
      </c>
    </row>
    <row r="25">
      <c r="A25" s="12" t="inlineStr">
        <is>
          <t>补充剂（随总量等比缩放）</t>
        </is>
      </c>
    </row>
    <row r="26">
      <c r="A26" s="6" t="inlineStr">
        <is>
          <t>补充剂</t>
        </is>
      </c>
      <c r="B26" s="6" t="inlineStr">
        <is>
          <t>标准用量</t>
        </is>
      </c>
      <c r="C26" s="6" t="inlineStr">
        <is>
          <t>当前用量</t>
        </is>
      </c>
    </row>
    <row r="27">
      <c r="A27" s="7" t="inlineStr">
        <is>
          <t>碳酸钙粉</t>
        </is>
      </c>
      <c r="B27" s="7" t="inlineStr">
        <is>
          <t>18g</t>
        </is>
      </c>
      <c r="C27" s="15">
        <f>ROUND(18.0*B5/3168,1)</f>
        <v/>
      </c>
    </row>
    <row r="28">
      <c r="A28" s="7" t="inlineStr">
        <is>
          <t>牛磺酸粉</t>
        </is>
      </c>
      <c r="B28" s="7" t="inlineStr">
        <is>
          <t>3g</t>
        </is>
      </c>
      <c r="C28" s="15">
        <f>ROUND(3.0*B5/3168,1)</f>
        <v/>
      </c>
    </row>
    <row r="29">
      <c r="A29" s="7" t="inlineStr">
        <is>
          <t>鱼油胶囊 10粒</t>
        </is>
      </c>
      <c r="B29" s="7" t="inlineStr">
        <is>
          <t>10粒</t>
        </is>
      </c>
      <c r="C29" s="15">
        <f>ROUND(10.0*B5/3168,1)</f>
        <v/>
      </c>
    </row>
    <row r="30">
      <c r="A30" s="7" t="inlineStr">
        <is>
          <t>维生素D3 1000IU</t>
        </is>
      </c>
      <c r="B30" s="7" t="inlineStr">
        <is>
          <t>1粒</t>
        </is>
      </c>
      <c r="C30" s="15">
        <f>ROUND(1.0*B5/3168,1)</f>
        <v/>
      </c>
    </row>
    <row r="31">
      <c r="A31" s="7" t="inlineStr">
        <is>
          <t>维生素E 100IU×2</t>
        </is>
      </c>
      <c r="B31" s="7" t="inlineStr">
        <is>
          <t>2粒</t>
        </is>
      </c>
      <c r="C31" s="15">
        <f>ROUND(2.0*B5/3168,1)</f>
        <v/>
      </c>
    </row>
    <row r="32">
      <c r="A32" s="7" t="inlineStr">
        <is>
          <t>维生素B族 B-50</t>
        </is>
      </c>
      <c r="B32" s="7" t="inlineStr">
        <is>
          <t>0.5片</t>
        </is>
      </c>
      <c r="C32" s="15">
        <f>ROUND(0.5*B5/3168,1)</f>
        <v/>
      </c>
    </row>
    <row r="33">
      <c r="A33" s="7" t="inlineStr">
        <is>
          <t>海带碘 225mcg×7</t>
        </is>
      </c>
      <c r="B33" s="7" t="inlineStr">
        <is>
          <t>7粒</t>
        </is>
      </c>
      <c r="C33" s="15">
        <f>ROUND(7.0*B5/3168,1)</f>
        <v/>
      </c>
    </row>
    <row r="34">
      <c r="A34" s="7" t="inlineStr">
        <is>
          <t>碘盐</t>
        </is>
      </c>
      <c r="B34" s="7" t="inlineStr">
        <is>
          <t>3g</t>
        </is>
      </c>
      <c r="C34" s="15">
        <f>ROUND(3.0*B5/3168,1)</f>
        <v/>
      </c>
    </row>
    <row r="35">
      <c r="A35" s="7" t="inlineStr">
        <is>
          <t>锌片 30mg</t>
        </is>
      </c>
      <c r="B35" s="7" t="inlineStr">
        <is>
          <t>0.5粒</t>
        </is>
      </c>
      <c r="C35" s="15">
        <f>ROUND(0.5*B5/3168,1)</f>
        <v/>
      </c>
    </row>
    <row r="36">
      <c r="A36" s="7" t="inlineStr">
        <is>
          <t>螯合铁 36mg</t>
        </is>
      </c>
      <c r="B36" s="7" t="inlineStr">
        <is>
          <t>0.5粒</t>
        </is>
      </c>
      <c r="C36" s="15">
        <f>ROUND(0.5*B5/3168,1)</f>
        <v/>
      </c>
    </row>
    <row r="37">
      <c r="A37" s="7" t="inlineStr">
        <is>
          <t>锰片 10mg</t>
        </is>
      </c>
      <c r="B37" s="7" t="inlineStr">
        <is>
          <t>0.5粒</t>
        </is>
      </c>
      <c r="C37" s="15">
        <f>ROUND(0.5*B5/3168,1)</f>
        <v/>
      </c>
    </row>
    <row r="40">
      <c r="A40" s="12" t="inlineStr">
        <is>
          <t>29项NRC营养校验（每1000kcal）</t>
        </is>
      </c>
    </row>
    <row r="41">
      <c r="A41" s="6" t="inlineStr">
        <is>
          <t>营养素</t>
        </is>
      </c>
      <c r="B41" s="6" t="inlineStr">
        <is>
          <t>食材总量</t>
        </is>
      </c>
      <c r="C41" s="6" t="inlineStr">
        <is>
          <t>补充剂</t>
        </is>
      </c>
      <c r="D41" s="6" t="inlineStr">
        <is>
          <t>合计</t>
        </is>
      </c>
      <c r="E41" s="6" t="inlineStr">
        <is>
          <t>每1000kcal</t>
        </is>
      </c>
      <c r="F41" s="6" t="inlineStr">
        <is>
          <t>NRC下限</t>
        </is>
      </c>
      <c r="G41" s="6" t="inlineStr">
        <is>
          <t>NRC上限</t>
        </is>
      </c>
      <c r="H41" s="6" t="inlineStr">
        <is>
          <t>状态</t>
        </is>
      </c>
    </row>
    <row r="42">
      <c r="A42" s="7" t="inlineStr">
        <is>
          <t>蛋白质(g)</t>
        </is>
      </c>
      <c r="B42" s="13">
        <f>D8/100*19.6+D9/100*21.1+D10/100*15.6+D11/100*17.7+D12/100*12.6+D13/100*16.9+D14/100*20.4+D15/100*19.29+D16/100*13.3+D17/100*18.28</f>
        <v/>
      </c>
      <c r="C42" s="13" t="n">
        <v>0</v>
      </c>
      <c r="D42" s="13">
        <f>B42+C42</f>
        <v/>
      </c>
      <c r="E42" s="13">
        <f>D42/B22*1000</f>
        <v/>
      </c>
      <c r="F42" s="13" t="n">
        <v>50</v>
      </c>
      <c r="G42" s="13" t="inlineStr">
        <is>
          <t>—</t>
        </is>
      </c>
      <c r="H42" s="16">
        <f>IF(E42&gt;=50,"✅","❌")</f>
        <v/>
      </c>
    </row>
    <row r="43">
      <c r="A43" s="7" t="inlineStr">
        <is>
          <t>脂肪(g)</t>
        </is>
      </c>
      <c r="B43" s="13">
        <f>D8/100*4.3+D9/100*6.9+D10/100*9.3+D11/100*3.9+D12/100*9.9+D13/100*4.8+D14/100*3.6+D15/100*6.3+D16/100*32.4+D17/100*5.95</f>
        <v/>
      </c>
      <c r="C43" s="13" t="n">
        <v>0</v>
      </c>
      <c r="D43" s="13">
        <f>B43+C43</f>
        <v/>
      </c>
      <c r="E43" s="13">
        <f>D43/B22*1000</f>
        <v/>
      </c>
      <c r="F43" s="13" t="n">
        <v>22.5</v>
      </c>
      <c r="G43" s="13" t="inlineStr">
        <is>
          <t>—</t>
        </is>
      </c>
      <c r="H43" s="16">
        <f>IF(E43&gt;=22.5,"✅","❌")</f>
        <v/>
      </c>
    </row>
    <row r="44">
      <c r="A44" s="7" t="inlineStr">
        <is>
          <t>钙(mg)</t>
        </is>
      </c>
      <c r="B44" s="13">
        <f>D8/100*9+D9/100*5+D10/100*12+D11/100*7+D12/100*56+D13/100*8+D14/100*5+D15/100*11+D16/100*11+D17/100*11</f>
        <v/>
      </c>
      <c r="C44" s="13">
        <f>ROUND(7207.2*B5/3168,1)</f>
        <v/>
      </c>
      <c r="D44" s="13">
        <f>B44+C44</f>
        <v/>
      </c>
      <c r="E44" s="13">
        <f>D44/B22*1000</f>
        <v/>
      </c>
      <c r="F44" s="13" t="n">
        <v>720</v>
      </c>
      <c r="G44" s="13" t="n">
        <v>3000</v>
      </c>
      <c r="H44" s="16">
        <f>IF(AND(E44&gt;=720,E44&lt;=3000),"✅","❌")</f>
        <v/>
      </c>
    </row>
    <row r="45">
      <c r="A45" s="7" t="inlineStr">
        <is>
          <t>磷(mg)</t>
        </is>
      </c>
      <c r="B45" s="13">
        <f>D8/100*178+D9/100*197+D10/100*177+D11/100*212+D12/100*198+D13/100*297+D14/100*387+D15/100*171+D16/100*68+D17/100*203</f>
        <v/>
      </c>
      <c r="C45" s="13" t="n">
        <v>0</v>
      </c>
      <c r="D45" s="13">
        <f>B45+C45</f>
        <v/>
      </c>
      <c r="E45" s="13">
        <f>D45/B22*1000</f>
        <v/>
      </c>
      <c r="F45" s="13" t="n">
        <v>640</v>
      </c>
      <c r="G45" s="13" t="inlineStr">
        <is>
          <t>—</t>
        </is>
      </c>
      <c r="H45" s="16">
        <f>IF(E45&gt;=640,"✅","❌")</f>
        <v/>
      </c>
    </row>
    <row r="46">
      <c r="A46" s="7" t="inlineStr">
        <is>
          <t>钾(mg)</t>
        </is>
      </c>
      <c r="B46" s="13">
        <f>D8/100*242+D9/100*389+D10/100*176.066+D11/100*286.984+D12/100*138+D13/100*230+D14/100*313+D15/100*446+D16/100*119+D17/100*271</f>
        <v/>
      </c>
      <c r="C46" s="13" t="n">
        <v>0</v>
      </c>
      <c r="D46" s="13">
        <f>B46+C46</f>
        <v/>
      </c>
      <c r="E46" s="13">
        <f>D46/B22*1000</f>
        <v/>
      </c>
      <c r="F46" s="13" t="n">
        <v>1300</v>
      </c>
      <c r="G46" s="13" t="inlineStr">
        <is>
          <t>—</t>
        </is>
      </c>
      <c r="H46" s="16">
        <f>IF(E46&gt;=1300,"✅","❌")</f>
        <v/>
      </c>
    </row>
    <row r="47">
      <c r="A47" s="7" t="inlineStr">
        <is>
          <t>钠(mg)</t>
        </is>
      </c>
      <c r="B47" s="13">
        <f>D8/100*95+D9/100*52+D10/100*73.934+D11/100*97.989+D12/100*142+D13/100*71+D14/100*69+D15/100*59+D16/100*51+D17/100*74</f>
        <v/>
      </c>
      <c r="C47" s="13">
        <f>ROUND(1180.2*B5/3168,1)</f>
        <v/>
      </c>
      <c r="D47" s="13">
        <f>B47+C47</f>
        <v/>
      </c>
      <c r="E47" s="13">
        <f>D47/B22*1000</f>
        <v/>
      </c>
      <c r="F47" s="13" t="n">
        <v>170</v>
      </c>
      <c r="G47" s="13" t="inlineStr">
        <is>
          <t>—</t>
        </is>
      </c>
      <c r="H47" s="16">
        <f>IF(E47&gt;=170,"✅","❌")</f>
        <v/>
      </c>
    </row>
    <row r="48">
      <c r="A48" s="7" t="inlineStr">
        <is>
          <t>氯化物(mg)</t>
        </is>
      </c>
      <c r="B48" s="13" t="n">
        <v>0</v>
      </c>
      <c r="C48" s="13">
        <f>ROUND(1819.8000000000002*B5/3168,1)</f>
        <v/>
      </c>
      <c r="D48" s="13">
        <f>B48+C48</f>
        <v/>
      </c>
      <c r="E48" s="13">
        <f>D48/B22*1000</f>
        <v/>
      </c>
      <c r="F48" s="13" t="n">
        <v>240</v>
      </c>
      <c r="G48" s="13" t="inlineStr">
        <is>
          <t>—</t>
        </is>
      </c>
      <c r="H48" s="16">
        <f>IF(E48&gt;=240,"✅","❌")</f>
        <v/>
      </c>
    </row>
    <row r="49">
      <c r="A49" s="7" t="inlineStr">
        <is>
          <t>镁(mg)</t>
        </is>
      </c>
      <c r="B49" s="13">
        <f>D8/100*23+D9/100*25+D10/100*15+D11/100*21+D12/100*12+D13/100*19+D14/100*20+D15/100*33+D16/100*10+D17/100*20</f>
        <v/>
      </c>
      <c r="C49" s="13" t="n">
        <v>0</v>
      </c>
      <c r="D49" s="13">
        <f>B49+C49</f>
        <v/>
      </c>
      <c r="E49" s="13">
        <f>D49/B22*1000</f>
        <v/>
      </c>
      <c r="F49" s="13" t="n">
        <v>100</v>
      </c>
      <c r="G49" s="13" t="inlineStr">
        <is>
          <t>—</t>
        </is>
      </c>
      <c r="H49" s="16">
        <f>IF(E49&gt;=100,"✅","❌")</f>
        <v/>
      </c>
    </row>
    <row r="50">
      <c r="A50" s="7" t="inlineStr">
        <is>
          <t>铁(mg)</t>
        </is>
      </c>
      <c r="B50" s="13">
        <f>D8/100*0.8+D9/100*0.8+D10/100*5.9+D11/100*4.3+D12/100*1.8+D13/100*9.0+D14/100*4.9+D15/100*0.44+D16/100*0.7+D17/100*2.4</f>
        <v/>
      </c>
      <c r="C50" s="13">
        <f>ROUND(18.0*B5/3168,1)</f>
        <v/>
      </c>
      <c r="D50" s="13">
        <f>B50+C50</f>
        <v/>
      </c>
      <c r="E50" s="13">
        <f>D50/B22*1000</f>
        <v/>
      </c>
      <c r="F50" s="13" t="n">
        <v>20</v>
      </c>
      <c r="G50" s="13" t="inlineStr">
        <is>
          <t>—</t>
        </is>
      </c>
      <c r="H50" s="16">
        <f>IF(E50&gt;=20,"✅","❌")</f>
        <v/>
      </c>
    </row>
    <row r="51">
      <c r="A51" s="7" t="inlineStr">
        <is>
          <t>锌(mg)</t>
        </is>
      </c>
      <c r="B51" s="13">
        <f>D8/100*1.8+D9/100*1.9+D10/100*6.6+D11/100*2.4+D12/100*1.3+D13/100*2.7+D14/100*4.0+D15/100*0.51+D16/100*0.6+D17/100*1.9</f>
        <v/>
      </c>
      <c r="C51" s="13">
        <f>ROUND(15.0*B5/3168,1)</f>
        <v/>
      </c>
      <c r="D51" s="13">
        <f>B51+C51</f>
        <v/>
      </c>
      <c r="E51" s="13">
        <f>D51/B22*1000</f>
        <v/>
      </c>
      <c r="F51" s="13" t="n">
        <v>18.5</v>
      </c>
      <c r="G51" s="13" t="inlineStr">
        <is>
          <t>—</t>
        </is>
      </c>
      <c r="H51" s="16">
        <f>IF(E51&gt;=18.5,"✅","❌")</f>
        <v/>
      </c>
    </row>
    <row r="52">
      <c r="A52" s="7" t="inlineStr">
        <is>
          <t>铜(mg)</t>
        </is>
      </c>
      <c r="B52" s="13">
        <f>D8/100*0.06+D9/100*0.06+D10/100*0.33+D11/100*0.39+D12/100*0.07+D13/100*0.49+D14/100*9.76+D15/100*0.046+D16/100*0.02+D17/100*0.24</f>
        <v/>
      </c>
      <c r="C52" s="13" t="n">
        <v>0</v>
      </c>
      <c r="D52" s="13">
        <f>B52+C52</f>
        <v/>
      </c>
      <c r="E52" s="13">
        <f>D52/B22*1000</f>
        <v/>
      </c>
      <c r="F52" s="13" t="n">
        <v>1.2</v>
      </c>
      <c r="G52" s="13" t="inlineStr">
        <is>
          <t>—</t>
        </is>
      </c>
      <c r="H52" s="16">
        <f>IF(E52&gt;=1.2,"✅","❌")</f>
        <v/>
      </c>
    </row>
    <row r="53">
      <c r="A53" s="7" t="inlineStr">
        <is>
          <t>锰(mg)</t>
        </is>
      </c>
      <c r="B53" s="13">
        <f>D8/100*0.02+D9/100*0.01+D10/100*0.05+D11/100*0.03+D12/100*0.03+D13/100*0.26+D14/100*0.31+D15/100*0.015+D16/100*0.01+D17/100*0.02</f>
        <v/>
      </c>
      <c r="C53" s="13">
        <f>ROUND(5.0*B5/3168,1)</f>
        <v/>
      </c>
      <c r="D53" s="13">
        <f>B53+C53</f>
        <v/>
      </c>
      <c r="E53" s="13">
        <f>D53/B22*1000</f>
        <v/>
      </c>
      <c r="F53" s="13" t="n">
        <v>1.2</v>
      </c>
      <c r="G53" s="13" t="inlineStr">
        <is>
          <t>—</t>
        </is>
      </c>
      <c r="H53" s="16">
        <f>IF(E53&gt;=1.2,"✅","❌")</f>
        <v/>
      </c>
    </row>
    <row r="54">
      <c r="A54" s="7" t="inlineStr">
        <is>
          <t>碘(mcg)</t>
        </is>
      </c>
      <c r="B54" s="13">
        <f>D8/100*1+D9/100*1+D10/100*5+D11/100*5+D12/100*27+D13/100*3+D14/100*3+D15/100*35+D16/100*1+D17/100*1</f>
        <v/>
      </c>
      <c r="C54" s="13">
        <f>ROUND(1650*B5/3168,1)</f>
        <v/>
      </c>
      <c r="D54" s="13">
        <f>B54+C54</f>
        <v/>
      </c>
      <c r="E54" s="13">
        <f>D54/B22*1000</f>
        <v/>
      </c>
      <c r="F54" s="13" t="n">
        <v>350</v>
      </c>
      <c r="G54" s="13" t="n">
        <v>9000</v>
      </c>
      <c r="H54" s="16">
        <f>IF(AND(E54&gt;=350,E54&lt;=9000),"✅","❌")</f>
        <v/>
      </c>
    </row>
    <row r="55">
      <c r="A55" s="7" t="inlineStr">
        <is>
          <t>硒(mcg)</t>
        </is>
      </c>
      <c r="B55" s="13">
        <f>D8/100*23.0+D9/100*32.5+D10/100*16.0+D11/100*21.8+D12/100*30.7+D13/100*54.6+D14/100*39.7+D15/100*36.5+D16/100*14.1+D17/100*14.0</f>
        <v/>
      </c>
      <c r="C55" s="13" t="n">
        <v>0</v>
      </c>
      <c r="D55" s="13">
        <f>B55+C55</f>
        <v/>
      </c>
      <c r="E55" s="13">
        <f>D55/B22*1000</f>
        <v/>
      </c>
      <c r="F55" s="13" t="n">
        <v>75</v>
      </c>
      <c r="G55" s="13" t="inlineStr">
        <is>
          <t>—</t>
        </is>
      </c>
      <c r="H55" s="16">
        <f>IF(E55&gt;=75,"✅","❌")</f>
        <v/>
      </c>
    </row>
    <row r="56">
      <c r="A56" s="7" t="inlineStr">
        <is>
          <t>牛磺酸(mg)</t>
        </is>
      </c>
      <c r="B56" s="13">
        <f>D8/100*40+D9/100*50+D10/100*145+D11/100*160+D12/100*20+D13/100*30+D14/100*40+D15/100*70+D16/100*10</f>
        <v/>
      </c>
      <c r="C56" s="13">
        <f>ROUND(3000*B5/3168,1)</f>
        <v/>
      </c>
      <c r="D56" s="13">
        <f>B56*0.4+C56</f>
        <v/>
      </c>
      <c r="E56" s="13">
        <f>D56/B22*1000</f>
        <v/>
      </c>
      <c r="F56" s="13" t="n">
        <v>250</v>
      </c>
      <c r="G56" s="13" t="inlineStr">
        <is>
          <t>—</t>
        </is>
      </c>
      <c r="H56" s="16">
        <f>IF(E56&gt;=250,"✅","❌")</f>
        <v/>
      </c>
    </row>
    <row r="57">
      <c r="A57" s="7" t="inlineStr">
        <is>
          <t>VA(IU)</t>
        </is>
      </c>
      <c r="B57" s="13">
        <f>D8/100*50+D9/100*7+D10/100*31+D12/100*520+D13/100*11078+D14/100*16898+D15/100*98+D16/100*150+D17/100*80</f>
        <v/>
      </c>
      <c r="C57" s="13" t="n">
        <v>0</v>
      </c>
      <c r="D57" s="13">
        <f>B57+C57</f>
        <v/>
      </c>
      <c r="E57" s="13">
        <f>D57/B22*1000</f>
        <v/>
      </c>
      <c r="F57" s="13" t="n">
        <v>3333</v>
      </c>
      <c r="G57" s="13" t="n">
        <v>333333</v>
      </c>
      <c r="H57" s="16">
        <f>IF(AND(E57&gt;=3333,E57&lt;=333333),"✅","❌")</f>
        <v/>
      </c>
    </row>
    <row r="58">
      <c r="A58" s="7" t="inlineStr">
        <is>
          <t>VD(IU)</t>
        </is>
      </c>
      <c r="B58" s="13">
        <f>D9/100*12+D12/100*82+D13/100*8+D14/100*49+D15/100*292+D16/100*24+D17/100*4</f>
        <v/>
      </c>
      <c r="C58" s="13">
        <f>ROUND(1000*B5/3168,1)</f>
        <v/>
      </c>
      <c r="D58" s="13">
        <f>B58+C58</f>
        <v/>
      </c>
      <c r="E58" s="13">
        <f>D58/B22*1000</f>
        <v/>
      </c>
      <c r="F58" s="13" t="n">
        <v>70</v>
      </c>
      <c r="G58" s="13" t="n">
        <v>7500</v>
      </c>
      <c r="H58" s="16">
        <f>IF(AND(E58&gt;=70,E58&lt;=7500),"✅","❌")</f>
        <v/>
      </c>
    </row>
    <row r="59">
      <c r="A59" s="7" t="inlineStr">
        <is>
          <t>VE(mg)</t>
        </is>
      </c>
      <c r="B59" s="13">
        <f>D8/100*0.2+D9/100*0.5+D10/100*0.7+D11/100*0.2+D12/100*1.1+D13/100*0.7+D14/100*0.5+D15/100*0.42+D16/100*0.3+D17/100*0.7</f>
        <v/>
      </c>
      <c r="C59" s="13">
        <f>ROUND(134.22*B5/3168,1)</f>
        <v/>
      </c>
      <c r="D59" s="13">
        <f>B59+C59</f>
        <v/>
      </c>
      <c r="E59" s="13">
        <f>D59/B22*1000</f>
        <v/>
      </c>
      <c r="F59" s="13" t="n">
        <v>10</v>
      </c>
      <c r="G59" s="13" t="inlineStr">
        <is>
          <t>—</t>
        </is>
      </c>
      <c r="H59" s="16">
        <f>IF(E59&gt;=10,"✅","❌")</f>
        <v/>
      </c>
    </row>
    <row r="60">
      <c r="A60" s="7" t="inlineStr">
        <is>
          <t>VB1(mg)</t>
        </is>
      </c>
      <c r="B60" s="13">
        <f>D8/100*0.07+D9/100*0.81+D10/100*0.13+D11/100*0.24+D12/100*0.04+D13/100*0.31+D14/100*0.19+D15/100*0.068+D16/100*0.01+D17/100*0.36</f>
        <v/>
      </c>
      <c r="C60" s="13">
        <f>ROUND(25.0*B5/3168,1)</f>
        <v/>
      </c>
      <c r="D60" s="13">
        <f>B60+C60</f>
        <v/>
      </c>
      <c r="E60" s="13">
        <f>D60/B22*1000</f>
        <v/>
      </c>
      <c r="F60" s="13" t="n">
        <v>1.4</v>
      </c>
      <c r="G60" s="13" t="inlineStr">
        <is>
          <t>—</t>
        </is>
      </c>
      <c r="H60" s="16">
        <f>IF(E60&gt;=1.4,"✅","❌")</f>
        <v/>
      </c>
    </row>
    <row r="61">
      <c r="A61" s="7" t="inlineStr">
        <is>
          <t>VB2(mg)</t>
        </is>
      </c>
      <c r="B61" s="13">
        <f>D8/100*0.16+D9/100*0.23+D10/100*0.73+D11/100*0.91+D12/100*0.46+D13/100*1.78+D14/100*2.76+D15/100*0.13+D16/100*0.07+D17/100*0.47</f>
        <v/>
      </c>
      <c r="C61" s="13">
        <f>ROUND(25.0*B5/3168,1)</f>
        <v/>
      </c>
      <c r="D61" s="13">
        <f>B61+C61</f>
        <v/>
      </c>
      <c r="E61" s="13">
        <f>D61/B22*1000</f>
        <v/>
      </c>
      <c r="F61" s="13" t="n">
        <v>1</v>
      </c>
      <c r="G61" s="13" t="inlineStr">
        <is>
          <t>—</t>
        </is>
      </c>
      <c r="H61" s="16">
        <f>IF(E61&gt;=1.0,"✅","❌")</f>
        <v/>
      </c>
    </row>
    <row r="62">
      <c r="A62" s="7" t="inlineStr">
        <is>
          <t>VB3(mg)</t>
        </is>
      </c>
      <c r="B62" s="13">
        <f>D8/100*5.3+D9/100*5.0+D10/100*4.8+D11/100*7.4+D12/100*0.1+D13/100*9.7+D14/100*13.2+D15/100*8.47+D16/100*2.5+D17/100*5.3</f>
        <v/>
      </c>
      <c r="C62" s="13">
        <f>ROUND(25.0*B5/3168,1)</f>
        <v/>
      </c>
      <c r="D62" s="13">
        <f>B62+C62</f>
        <v/>
      </c>
      <c r="E62" s="13">
        <f>D62/B22*1000</f>
        <v/>
      </c>
      <c r="F62" s="13" t="n">
        <v>10</v>
      </c>
      <c r="G62" s="13" t="inlineStr">
        <is>
          <t>—</t>
        </is>
      </c>
      <c r="H62" s="16">
        <f>IF(E62&gt;=10,"✅","❌")</f>
        <v/>
      </c>
    </row>
    <row r="63">
      <c r="A63" s="7" t="inlineStr">
        <is>
          <t>VB6(mg)</t>
        </is>
      </c>
      <c r="B63" s="13">
        <f>D8/100*0.33+D9/100*0.42+D10/100*0.29+D11/100*0.28+D12/100*0.14+D13/100*0.85+D14/100*1.08+D15/100*0.315+D16/100*0.05+D17/100*0.34</f>
        <v/>
      </c>
      <c r="C63" s="13">
        <f>ROUND(25.0*B5/3168,1)</f>
        <v/>
      </c>
      <c r="D63" s="13">
        <f>B63+C63</f>
        <v/>
      </c>
      <c r="E63" s="13">
        <f>D63/B22*1000</f>
        <v/>
      </c>
      <c r="F63" s="13" t="n">
        <v>0.625</v>
      </c>
      <c r="G63" s="13" t="inlineStr">
        <is>
          <t>—</t>
        </is>
      </c>
      <c r="H63" s="16">
        <f>IF(E63&gt;=0.625,"✅","❌")</f>
        <v/>
      </c>
    </row>
    <row r="64">
      <c r="A64" s="7" t="inlineStr">
        <is>
          <t>VB12(mcg)</t>
        </is>
      </c>
      <c r="B64" s="13">
        <f>D8/100*0.4+D9/100*0.6+D10/100*7.3+D11/100*8.6+D12/100*0.9+D13/100*16.6+D14/100*59.3+D15/100*7.4+D16/100*0.3+D17/100*0.4</f>
        <v/>
      </c>
      <c r="C64" s="13">
        <f>ROUND(25.0*B5/3168,1)</f>
        <v/>
      </c>
      <c r="D64" s="13">
        <f>B64+C64</f>
        <v/>
      </c>
      <c r="E64" s="13">
        <f>D64/B22*1000</f>
        <v/>
      </c>
      <c r="F64" s="13" t="n">
        <v>5.6</v>
      </c>
      <c r="G64" s="13" t="inlineStr">
        <is>
          <t>—</t>
        </is>
      </c>
      <c r="H64" s="16">
        <f>IF(E64&gt;=5.6,"✅","❌")</f>
        <v/>
      </c>
    </row>
    <row r="65">
      <c r="A65" s="7" t="inlineStr">
        <is>
          <t>胆碱(mg)</t>
        </is>
      </c>
      <c r="B65" s="13">
        <f>D8/100*65+D9/100*80+D10/100*65+D11/100*150+D12/100*293+D13/100*290+D14/100*333+D15/100*65+D16/100*46+D17/100*64</f>
        <v/>
      </c>
      <c r="C65" s="13" t="n">
        <v>0</v>
      </c>
      <c r="D65" s="13">
        <f>B65+C65</f>
        <v/>
      </c>
      <c r="E65" s="13">
        <f>D65/B22*1000</f>
        <v/>
      </c>
      <c r="F65" s="13" t="n">
        <v>637</v>
      </c>
      <c r="G65" s="13" t="inlineStr">
        <is>
          <t>—</t>
        </is>
      </c>
      <c r="H65" s="16">
        <f>IF(E65&gt;=637,"✅","❌")</f>
        <v/>
      </c>
    </row>
    <row r="66">
      <c r="A66" s="7" t="inlineStr">
        <is>
          <t>叶酸(mcg)</t>
        </is>
      </c>
      <c r="B66" s="13">
        <f>D8/100*6+D9/100*1+D10/100*72+D11/100*3+D12/100*47+D13/100*588+D14/100*290+D15/100*2+D16/100*1+D17/100*25</f>
        <v/>
      </c>
      <c r="C66" s="13">
        <f>ROUND(200.0*B5/3168,1)</f>
        <v/>
      </c>
      <c r="D66" s="13">
        <f>B66+C66</f>
        <v/>
      </c>
      <c r="E66" s="13">
        <f>D66/B22*1000</f>
        <v/>
      </c>
      <c r="F66" s="13" t="n">
        <v>188</v>
      </c>
      <c r="G66" s="13" t="inlineStr">
        <is>
          <t>—</t>
        </is>
      </c>
      <c r="H66" s="16">
        <f>IF(E66&gt;=188,"✅","❌")</f>
        <v/>
      </c>
    </row>
    <row r="67">
      <c r="A67" s="7" t="inlineStr">
        <is>
          <t>泛酸(mg)</t>
        </is>
      </c>
      <c r="B67" s="13">
        <f>D8/100*1.01+D9/100*0.6+D10/100*2.51+D11/100*2.25+D12/100*1.53+D13/100*6.5+D14/100*7.17+D15/100*0.42+D16/100*0.53+D17/100*1.6</f>
        <v/>
      </c>
      <c r="C67" s="13">
        <f>ROUND(25.0*B5/3168,1)</f>
        <v/>
      </c>
      <c r="D67" s="13">
        <f>B67+C67</f>
        <v/>
      </c>
      <c r="E67" s="13">
        <f>D67/B22*1000</f>
        <v/>
      </c>
      <c r="F67" s="13" t="n">
        <v>1.44</v>
      </c>
      <c r="G67" s="13" t="inlineStr">
        <is>
          <t>—</t>
        </is>
      </c>
      <c r="H67" s="16">
        <f>IF(E67&gt;=1.44,"✅","❌")</f>
        <v/>
      </c>
    </row>
    <row r="68">
      <c r="A68" s="7" t="inlineStr">
        <is>
          <t>花生四烯酸(mg)</t>
        </is>
      </c>
      <c r="B68" s="13">
        <f>D8/100*50+D9/100*70+D10/100*84+D11/100*25+D12/100*155+D13/100*260+D14/100*200+D15/100*60+D16/100*250</f>
        <v/>
      </c>
      <c r="C68" s="13" t="n">
        <v>0</v>
      </c>
      <c r="D68" s="13">
        <f>B68+C68</f>
        <v/>
      </c>
      <c r="E68" s="13">
        <f>D68/B22*1000</f>
        <v/>
      </c>
      <c r="F68" s="13" t="n">
        <v>15</v>
      </c>
      <c r="G68" s="13" t="inlineStr">
        <is>
          <t>—</t>
        </is>
      </c>
      <c r="H68" s="16">
        <f>IF(E68&gt;=15,"✅","❌")</f>
        <v/>
      </c>
    </row>
    <row r="69">
      <c r="A69" s="7" t="inlineStr">
        <is>
          <t>EPA+DHA(mg)</t>
        </is>
      </c>
      <c r="B69" s="13">
        <f>D15/100*941</f>
        <v/>
      </c>
      <c r="C69" s="13">
        <f>ROUND(3000*B5/3168,1)</f>
        <v/>
      </c>
      <c r="D69" s="13">
        <f>B69+C69</f>
        <v/>
      </c>
      <c r="E69" s="13">
        <f>D69/B22*1000</f>
        <v/>
      </c>
      <c r="F69" s="13" t="n">
        <v>25</v>
      </c>
      <c r="G69" s="13" t="inlineStr">
        <is>
          <t>—</t>
        </is>
      </c>
      <c r="H69" s="16">
        <f>IF(E69&gt;=25,"✅","❌")</f>
        <v/>
      </c>
    </row>
    <row r="70">
      <c r="A70" s="7" t="inlineStr">
        <is>
          <t>亚油酸(g)</t>
        </is>
      </c>
      <c r="B70" s="13">
        <f>D8/100*0.748+D9/100*0.49+D10/100*1.918+D11/100*0.395+D12/100*1.554+D13/100*0.475+D14/100*0.299+D15/100*0.1+D16/100*8.288+D17/100*0.752</f>
        <v/>
      </c>
      <c r="C70" s="13" t="n">
        <v>0</v>
      </c>
      <c r="D70" s="13">
        <f>B70+C70</f>
        <v/>
      </c>
      <c r="E70" s="13">
        <f>D70/B22*1000</f>
        <v/>
      </c>
      <c r="F70" s="13" t="n">
        <v>1.4</v>
      </c>
      <c r="G70" s="13" t="inlineStr">
        <is>
          <t>—</t>
        </is>
      </c>
      <c r="H70" s="16">
        <f>IF(E70&gt;=1.4,"✅","❌")</f>
        <v/>
      </c>
    </row>
    <row r="72">
      <c r="A72" s="17" t="inlineStr">
        <is>
          <t>钙磷比</t>
        </is>
      </c>
      <c r="B72" s="14">
        <f>D45/D46</f>
        <v/>
      </c>
      <c r="C72" s="7" t="inlineStr">
        <is>
          <t>（NRC推荐 1.1–1.5）</t>
        </is>
      </c>
      <c r="E72" s="16">
        <f>IF(AND(B72&gt;=1.1,B72&lt;=1.5),"✅","❌")</f>
        <v/>
      </c>
    </row>
    <row r="73">
      <c r="A73" s="17" t="inlineStr">
        <is>
          <t>通过项数</t>
        </is>
      </c>
      <c r="B73" s="16">
        <f>COUNTIF(H43:H71,"✅")&amp;"/29"</f>
        <v/>
      </c>
    </row>
    <row r="75">
      <c r="A75" s="12" t="inlineStr">
        <is>
          <t>每日分配（参考）</t>
        </is>
      </c>
    </row>
    <row r="76">
      <c r="A76" s="6" t="inlineStr">
        <is>
          <t>猫</t>
        </is>
      </c>
      <c r="B76" s="6" t="inlineStr">
        <is>
          <t>干粮(g)</t>
        </is>
      </c>
      <c r="C76" s="6" t="inlineStr">
        <is>
          <t>猫饭(g)</t>
        </is>
      </c>
      <c r="D76" s="6" t="inlineStr">
        <is>
          <t>总热量(kcal)</t>
        </is>
      </c>
    </row>
    <row r="77">
      <c r="A77" s="7" t="inlineStr">
        <is>
          <t>公猫A (5.8kg)</t>
        </is>
      </c>
      <c r="B77" s="18" t="n">
        <v>30</v>
      </c>
      <c r="C77" s="18" t="n">
        <v>60</v>
      </c>
      <c r="D77" s="15">
        <f>30*4+60*B23</f>
        <v/>
      </c>
    </row>
    <row r="78">
      <c r="A78" s="7" t="inlineStr">
        <is>
          <t>母猫B (4.5kg)</t>
        </is>
      </c>
      <c r="B78" s="18" t="n">
        <v>30</v>
      </c>
      <c r="C78" s="18" t="n">
        <v>50</v>
      </c>
      <c r="D78" s="15">
        <f>30*4+50*B23</f>
        <v/>
      </c>
    </row>
    <row r="79">
      <c r="A79" s="7" t="inlineStr">
        <is>
          <t>幼猫C (2.5kg)</t>
        </is>
      </c>
      <c r="B79" s="18" t="n">
        <v>40</v>
      </c>
      <c r="C79" s="18" t="n">
        <v>80</v>
      </c>
      <c r="D79" s="15">
        <f>40*4+80*B23</f>
        <v/>
      </c>
    </row>
    <row r="81">
      <c r="A81" s="11" t="inlineStr">
        <is>
          <t>合计</t>
        </is>
      </c>
      <c r="D81" s="15">
        <f>SUM(D78:D80)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H8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4" customWidth="1" min="7" max="7"/>
  </cols>
  <sheetData>
    <row r="1">
      <c r="A1" s="1" t="inlineStr">
        <is>
          <t>🐱 C版：鸭胸强化版</t>
        </is>
      </c>
    </row>
    <row r="2">
      <c r="A2" s="2" t="inlineStr">
        <is>
          <t>基于 NRC 2006 · 鲅鱼体系 · 建议每批补1粒VD3(不补也达标)</t>
        </is>
      </c>
    </row>
    <row r="4">
      <c r="A4" s="3" t="inlineStr">
        <is>
          <t>⬇ 修改这里的总原料量</t>
        </is>
      </c>
    </row>
    <row r="5">
      <c r="A5" s="4" t="inlineStr">
        <is>
          <t>总原料量(g)</t>
        </is>
      </c>
      <c r="B5" s="5" t="n">
        <v>3180</v>
      </c>
    </row>
    <row r="7">
      <c r="A7" s="6" t="inlineStr">
        <is>
          <t>食材</t>
        </is>
      </c>
      <c r="B7" s="6" t="inlineStr">
        <is>
          <t>占比</t>
        </is>
      </c>
      <c r="C7" s="6" t="inlineStr">
        <is>
          <t>标准用量(g)</t>
        </is>
      </c>
      <c r="D7" s="6" t="inlineStr">
        <is>
          <t>当前用量(g)</t>
        </is>
      </c>
    </row>
    <row r="8">
      <c r="A8" s="7" t="inlineStr">
        <is>
          <t>鸡腿肉</t>
        </is>
      </c>
      <c r="B8" s="8" t="n">
        <v>0</v>
      </c>
      <c r="C8" s="9" t="n">
        <v>0</v>
      </c>
      <c r="D8" s="10">
        <f>ROUND(B5*0.0,0)</f>
        <v/>
      </c>
    </row>
    <row r="9">
      <c r="A9" s="7" t="inlineStr">
        <is>
          <t>猪瘦肉</t>
        </is>
      </c>
      <c r="B9" s="8" t="n">
        <v>0.1887</v>
      </c>
      <c r="C9" s="9" t="n">
        <v>600</v>
      </c>
      <c r="D9" s="10">
        <f>ROUND(B5*0.18867924528301888,0)</f>
        <v/>
      </c>
    </row>
    <row r="10">
      <c r="A10" s="7" t="inlineStr">
        <is>
          <t>鸡心</t>
        </is>
      </c>
      <c r="B10" s="8" t="n">
        <v>0.1289</v>
      </c>
      <c r="C10" s="9" t="n">
        <v>410</v>
      </c>
      <c r="D10" s="10">
        <f>ROUND(B5*0.1289308176100629,0)</f>
        <v/>
      </c>
    </row>
    <row r="11">
      <c r="A11" s="7" t="inlineStr">
        <is>
          <t>牛心</t>
        </is>
      </c>
      <c r="B11" s="8" t="n">
        <v>0.1399</v>
      </c>
      <c r="C11" s="9" t="n">
        <v>445</v>
      </c>
      <c r="D11" s="10">
        <f>ROUND(B5*0.139937106918239,0)</f>
        <v/>
      </c>
    </row>
    <row r="12">
      <c r="A12" s="7" t="inlineStr">
        <is>
          <t>鸡蛋</t>
        </is>
      </c>
      <c r="B12" s="8" t="n">
        <v>0.0799</v>
      </c>
      <c r="C12" s="9" t="n">
        <v>254</v>
      </c>
      <c r="D12" s="10">
        <f>ROUND(B5*0.07987421383647798,0)</f>
        <v/>
      </c>
    </row>
    <row r="13">
      <c r="A13" s="7" t="inlineStr">
        <is>
          <t>鸡肝</t>
        </is>
      </c>
      <c r="B13" s="8" t="n">
        <v>0.0399</v>
      </c>
      <c r="C13" s="9" t="n">
        <v>127</v>
      </c>
      <c r="D13" s="10">
        <f>ROUND(B5*0.03993710691823899,0)</f>
        <v/>
      </c>
    </row>
    <row r="14">
      <c r="A14" s="7" t="inlineStr">
        <is>
          <t>牛肝</t>
        </is>
      </c>
      <c r="B14" s="8" t="n">
        <v>0.0299</v>
      </c>
      <c r="C14" s="9" t="n">
        <v>95</v>
      </c>
      <c r="D14" s="10">
        <f>ROUND(B5*0.029874213836477988,0)</f>
        <v/>
      </c>
    </row>
    <row r="15">
      <c r="A15" s="7" t="inlineStr">
        <is>
          <t>鲅鱼</t>
        </is>
      </c>
      <c r="B15" s="8" t="n">
        <v>0.0399</v>
      </c>
      <c r="C15" s="9" t="n">
        <v>127</v>
      </c>
      <c r="D15" s="10">
        <f>ROUND(B5*0.03993710691823899,0)</f>
        <v/>
      </c>
    </row>
    <row r="16">
      <c r="A16" s="7" t="inlineStr">
        <is>
          <t>鸡皮</t>
        </is>
      </c>
      <c r="B16" s="8" t="n">
        <v>0.0698</v>
      </c>
      <c r="C16" s="9" t="n">
        <v>222</v>
      </c>
      <c r="D16" s="10">
        <f>ROUND(B5*0.06981132075471698,0)</f>
        <v/>
      </c>
    </row>
    <row r="17">
      <c r="A17" s="7" t="inlineStr">
        <is>
          <t>鸭胸</t>
        </is>
      </c>
      <c r="B17" s="8" t="n">
        <v>0.283</v>
      </c>
      <c r="C17" s="9" t="n">
        <v>900</v>
      </c>
      <c r="D17" s="10">
        <f>ROUND(B5*0.2830188679245283,0)</f>
        <v/>
      </c>
    </row>
    <row r="18">
      <c r="A18" s="11" t="inlineStr">
        <is>
          <t>合计</t>
        </is>
      </c>
      <c r="D18" s="9">
        <f>SUM(D8:D17)</f>
        <v/>
      </c>
    </row>
    <row r="20">
      <c r="A20" s="12" t="inlineStr">
        <is>
          <t>基础结果</t>
        </is>
      </c>
    </row>
    <row r="21">
      <c r="A21" s="7" t="inlineStr">
        <is>
          <t>成品重量(g)(90%出成率)</t>
        </is>
      </c>
      <c r="B21" s="13">
        <f>B5*0.9</f>
        <v/>
      </c>
    </row>
    <row r="22">
      <c r="A22" s="7" t="inlineStr">
        <is>
          <t>总能量(kcal)</t>
        </is>
      </c>
      <c r="B22" s="13">
        <f>D8/100*119+D9/100*143+D10/100*153+D11/100*112+D12/100*143+D13/100*119+D14/100*135+D15/100*139+D16/100*349+D17/100*135+90*B5/3180</f>
        <v/>
      </c>
    </row>
    <row r="23">
      <c r="A23" s="7" t="inlineStr">
        <is>
          <t>能量密度(kcal/g)</t>
        </is>
      </c>
      <c r="B23" s="14">
        <f>B22/B21</f>
        <v/>
      </c>
    </row>
    <row r="25">
      <c r="A25" s="12" t="inlineStr">
        <is>
          <t>补充剂（随总量等比缩放）</t>
        </is>
      </c>
    </row>
    <row r="26">
      <c r="A26" s="6" t="inlineStr">
        <is>
          <t>补充剂</t>
        </is>
      </c>
      <c r="B26" s="6" t="inlineStr">
        <is>
          <t>标准用量</t>
        </is>
      </c>
      <c r="C26" s="6" t="inlineStr">
        <is>
          <t>当前用量</t>
        </is>
      </c>
    </row>
    <row r="27">
      <c r="A27" s="7" t="inlineStr">
        <is>
          <t>碳酸钙粉</t>
        </is>
      </c>
      <c r="B27" s="7" t="inlineStr">
        <is>
          <t>18g</t>
        </is>
      </c>
      <c r="C27" s="15">
        <f>ROUND(18.0*B5/3180,1)</f>
        <v/>
      </c>
    </row>
    <row r="28">
      <c r="A28" s="7" t="inlineStr">
        <is>
          <t>牛磺酸粉</t>
        </is>
      </c>
      <c r="B28" s="7" t="inlineStr">
        <is>
          <t>3g</t>
        </is>
      </c>
      <c r="C28" s="15">
        <f>ROUND(3.0*B5/3180,1)</f>
        <v/>
      </c>
    </row>
    <row r="29">
      <c r="A29" s="7" t="inlineStr">
        <is>
          <t>鱼油胶囊 10粒</t>
        </is>
      </c>
      <c r="B29" s="7" t="inlineStr">
        <is>
          <t>10粒</t>
        </is>
      </c>
      <c r="C29" s="15">
        <f>ROUND(10.0*B5/3180,1)</f>
        <v/>
      </c>
    </row>
    <row r="30">
      <c r="A30" s="7" t="inlineStr">
        <is>
          <t>维生素D3 1000IU</t>
        </is>
      </c>
      <c r="B30" s="7" t="inlineStr">
        <is>
          <t>1粒</t>
        </is>
      </c>
      <c r="C30" s="15">
        <f>ROUND(1.0*B5/3180,1)</f>
        <v/>
      </c>
    </row>
    <row r="31">
      <c r="A31" s="7" t="inlineStr">
        <is>
          <t>维生素E 100IU×2</t>
        </is>
      </c>
      <c r="B31" s="7" t="inlineStr">
        <is>
          <t>2粒</t>
        </is>
      </c>
      <c r="C31" s="15">
        <f>ROUND(2.0*B5/3180,1)</f>
        <v/>
      </c>
    </row>
    <row r="32">
      <c r="A32" s="7" t="inlineStr">
        <is>
          <t>维生素B族 B-50</t>
        </is>
      </c>
      <c r="B32" s="7" t="inlineStr">
        <is>
          <t>0.5片</t>
        </is>
      </c>
      <c r="C32" s="15">
        <f>ROUND(0.5*B5/3180,1)</f>
        <v/>
      </c>
    </row>
    <row r="33">
      <c r="A33" s="7" t="inlineStr">
        <is>
          <t>海带碘 225mcg×7</t>
        </is>
      </c>
      <c r="B33" s="7" t="inlineStr">
        <is>
          <t>7粒</t>
        </is>
      </c>
      <c r="C33" s="15">
        <f>ROUND(7.0*B5/3180,1)</f>
        <v/>
      </c>
    </row>
    <row r="34">
      <c r="A34" s="7" t="inlineStr">
        <is>
          <t>碘盐</t>
        </is>
      </c>
      <c r="B34" s="7" t="inlineStr">
        <is>
          <t>3g</t>
        </is>
      </c>
      <c r="C34" s="15">
        <f>ROUND(3.0*B5/3180,1)</f>
        <v/>
      </c>
    </row>
    <row r="35">
      <c r="A35" s="7" t="inlineStr">
        <is>
          <t>锌片 30mg</t>
        </is>
      </c>
      <c r="B35" s="7" t="inlineStr">
        <is>
          <t>0.5粒</t>
        </is>
      </c>
      <c r="C35" s="15">
        <f>ROUND(0.5*B5/3180,1)</f>
        <v/>
      </c>
    </row>
    <row r="36">
      <c r="A36" s="7" t="inlineStr">
        <is>
          <t>螯合铁 36mg</t>
        </is>
      </c>
      <c r="B36" s="7" t="inlineStr">
        <is>
          <t>0.5粒</t>
        </is>
      </c>
      <c r="C36" s="15">
        <f>ROUND(0.5*B5/3180,1)</f>
        <v/>
      </c>
    </row>
    <row r="37">
      <c r="A37" s="7" t="inlineStr">
        <is>
          <t>锰片 10mg</t>
        </is>
      </c>
      <c r="B37" s="7" t="inlineStr">
        <is>
          <t>0.5粒</t>
        </is>
      </c>
      <c r="C37" s="15">
        <f>ROUND(0.5*B5/3180,1)</f>
        <v/>
      </c>
    </row>
    <row r="40">
      <c r="A40" s="12" t="inlineStr">
        <is>
          <t>29项NRC营养校验（每1000kcal）</t>
        </is>
      </c>
    </row>
    <row r="41">
      <c r="A41" s="6" t="inlineStr">
        <is>
          <t>营养素</t>
        </is>
      </c>
      <c r="B41" s="6" t="inlineStr">
        <is>
          <t>食材总量</t>
        </is>
      </c>
      <c r="C41" s="6" t="inlineStr">
        <is>
          <t>补充剂</t>
        </is>
      </c>
      <c r="D41" s="6" t="inlineStr">
        <is>
          <t>合计</t>
        </is>
      </c>
      <c r="E41" s="6" t="inlineStr">
        <is>
          <t>每1000kcal</t>
        </is>
      </c>
      <c r="F41" s="6" t="inlineStr">
        <is>
          <t>NRC下限</t>
        </is>
      </c>
      <c r="G41" s="6" t="inlineStr">
        <is>
          <t>NRC上限</t>
        </is>
      </c>
      <c r="H41" s="6" t="inlineStr">
        <is>
          <t>状态</t>
        </is>
      </c>
    </row>
    <row r="42">
      <c r="A42" s="7" t="inlineStr">
        <is>
          <t>蛋白质(g)</t>
        </is>
      </c>
      <c r="B42" s="13">
        <f>D8/100*19.6+D9/100*21.1+D10/100*15.6+D11/100*17.7+D12/100*12.6+D13/100*16.9+D14/100*20.4+D15/100*19.29+D16/100*13.3+D17/100*18.28</f>
        <v/>
      </c>
      <c r="C42" s="13" t="n">
        <v>0</v>
      </c>
      <c r="D42" s="13">
        <f>B42+C42</f>
        <v/>
      </c>
      <c r="E42" s="13">
        <f>D42/B22*1000</f>
        <v/>
      </c>
      <c r="F42" s="13" t="n">
        <v>50</v>
      </c>
      <c r="G42" s="13" t="inlineStr">
        <is>
          <t>—</t>
        </is>
      </c>
      <c r="H42" s="16">
        <f>IF(E42&gt;=50,"✅","❌")</f>
        <v/>
      </c>
    </row>
    <row r="43">
      <c r="A43" s="7" t="inlineStr">
        <is>
          <t>脂肪(g)</t>
        </is>
      </c>
      <c r="B43" s="13">
        <f>D8/100*4.3+D9/100*6.9+D10/100*9.3+D11/100*3.9+D12/100*9.9+D13/100*4.8+D14/100*3.6+D15/100*6.3+D16/100*32.4+D17/100*5.95</f>
        <v/>
      </c>
      <c r="C43" s="13" t="n">
        <v>0</v>
      </c>
      <c r="D43" s="13">
        <f>B43+C43</f>
        <v/>
      </c>
      <c r="E43" s="13">
        <f>D43/B22*1000</f>
        <v/>
      </c>
      <c r="F43" s="13" t="n">
        <v>22.5</v>
      </c>
      <c r="G43" s="13" t="inlineStr">
        <is>
          <t>—</t>
        </is>
      </c>
      <c r="H43" s="16">
        <f>IF(E43&gt;=22.5,"✅","❌")</f>
        <v/>
      </c>
    </row>
    <row r="44">
      <c r="A44" s="7" t="inlineStr">
        <is>
          <t>钙(mg)</t>
        </is>
      </c>
      <c r="B44" s="13">
        <f>D8/100*9+D9/100*5+D10/100*12+D11/100*7+D12/100*56+D13/100*8+D14/100*5+D15/100*11+D16/100*11+D17/100*11</f>
        <v/>
      </c>
      <c r="C44" s="13">
        <f>ROUND(7207.2*B5/3180,1)</f>
        <v/>
      </c>
      <c r="D44" s="13">
        <f>B44+C44</f>
        <v/>
      </c>
      <c r="E44" s="13">
        <f>D44/B22*1000</f>
        <v/>
      </c>
      <c r="F44" s="13" t="n">
        <v>720</v>
      </c>
      <c r="G44" s="13" t="n">
        <v>3000</v>
      </c>
      <c r="H44" s="16">
        <f>IF(AND(E44&gt;=720,E44&lt;=3000),"✅","❌")</f>
        <v/>
      </c>
    </row>
    <row r="45">
      <c r="A45" s="7" t="inlineStr">
        <is>
          <t>磷(mg)</t>
        </is>
      </c>
      <c r="B45" s="13">
        <f>D8/100*178+D9/100*197+D10/100*177+D11/100*212+D12/100*198+D13/100*297+D14/100*387+D15/100*171+D16/100*68+D17/100*203</f>
        <v/>
      </c>
      <c r="C45" s="13" t="n">
        <v>0</v>
      </c>
      <c r="D45" s="13">
        <f>B45+C45</f>
        <v/>
      </c>
      <c r="E45" s="13">
        <f>D45/B22*1000</f>
        <v/>
      </c>
      <c r="F45" s="13" t="n">
        <v>640</v>
      </c>
      <c r="G45" s="13" t="inlineStr">
        <is>
          <t>—</t>
        </is>
      </c>
      <c r="H45" s="16">
        <f>IF(E45&gt;=640,"✅","❌")</f>
        <v/>
      </c>
    </row>
    <row r="46">
      <c r="A46" s="7" t="inlineStr">
        <is>
          <t>钾(mg)</t>
        </is>
      </c>
      <c r="B46" s="13">
        <f>D8/100*242+D9/100*389+D10/100*176.066+D11/100*286.984+D12/100*138+D13/100*230+D14/100*313+D15/100*446+D16/100*119+D17/100*271</f>
        <v/>
      </c>
      <c r="C46" s="13" t="n">
        <v>0</v>
      </c>
      <c r="D46" s="13">
        <f>B46+C46</f>
        <v/>
      </c>
      <c r="E46" s="13">
        <f>D46/B22*1000</f>
        <v/>
      </c>
      <c r="F46" s="13" t="n">
        <v>1300</v>
      </c>
      <c r="G46" s="13" t="inlineStr">
        <is>
          <t>—</t>
        </is>
      </c>
      <c r="H46" s="16">
        <f>IF(E46&gt;=1300,"✅","❌")</f>
        <v/>
      </c>
    </row>
    <row r="47">
      <c r="A47" s="7" t="inlineStr">
        <is>
          <t>钠(mg)</t>
        </is>
      </c>
      <c r="B47" s="13">
        <f>D8/100*95+D9/100*52+D10/100*73.934+D11/100*97.989+D12/100*142+D13/100*71+D14/100*69+D15/100*59+D16/100*51+D17/100*74</f>
        <v/>
      </c>
      <c r="C47" s="13">
        <f>ROUND(1180.2*B5/3180,1)</f>
        <v/>
      </c>
      <c r="D47" s="13">
        <f>B47+C47</f>
        <v/>
      </c>
      <c r="E47" s="13">
        <f>D47/B22*1000</f>
        <v/>
      </c>
      <c r="F47" s="13" t="n">
        <v>170</v>
      </c>
      <c r="G47" s="13" t="inlineStr">
        <is>
          <t>—</t>
        </is>
      </c>
      <c r="H47" s="16">
        <f>IF(E47&gt;=170,"✅","❌")</f>
        <v/>
      </c>
    </row>
    <row r="48">
      <c r="A48" s="7" t="inlineStr">
        <is>
          <t>氯化物(mg)</t>
        </is>
      </c>
      <c r="B48" s="13" t="n">
        <v>0</v>
      </c>
      <c r="C48" s="13">
        <f>ROUND(1819.8000000000002*B5/3180,1)</f>
        <v/>
      </c>
      <c r="D48" s="13">
        <f>B48+C48</f>
        <v/>
      </c>
      <c r="E48" s="13">
        <f>D48/B22*1000</f>
        <v/>
      </c>
      <c r="F48" s="13" t="n">
        <v>240</v>
      </c>
      <c r="G48" s="13" t="inlineStr">
        <is>
          <t>—</t>
        </is>
      </c>
      <c r="H48" s="16">
        <f>IF(E48&gt;=240,"✅","❌")</f>
        <v/>
      </c>
    </row>
    <row r="49">
      <c r="A49" s="7" t="inlineStr">
        <is>
          <t>镁(mg)</t>
        </is>
      </c>
      <c r="B49" s="13">
        <f>D8/100*23+D9/100*25+D10/100*15+D11/100*21+D12/100*12+D13/100*19+D14/100*20+D15/100*33+D16/100*10+D17/100*20</f>
        <v/>
      </c>
      <c r="C49" s="13" t="n">
        <v>0</v>
      </c>
      <c r="D49" s="13">
        <f>B49+C49</f>
        <v/>
      </c>
      <c r="E49" s="13">
        <f>D49/B22*1000</f>
        <v/>
      </c>
      <c r="F49" s="13" t="n">
        <v>100</v>
      </c>
      <c r="G49" s="13" t="inlineStr">
        <is>
          <t>—</t>
        </is>
      </c>
      <c r="H49" s="16">
        <f>IF(E49&gt;=100,"✅","❌")</f>
        <v/>
      </c>
    </row>
    <row r="50">
      <c r="A50" s="7" t="inlineStr">
        <is>
          <t>铁(mg)</t>
        </is>
      </c>
      <c r="B50" s="13">
        <f>D8/100*0.8+D9/100*0.8+D10/100*5.9+D11/100*4.3+D12/100*1.8+D13/100*9.0+D14/100*4.9+D15/100*0.44+D16/100*0.7+D17/100*2.4</f>
        <v/>
      </c>
      <c r="C50" s="13">
        <f>ROUND(18.0*B5/3180,1)</f>
        <v/>
      </c>
      <c r="D50" s="13">
        <f>B50+C50</f>
        <v/>
      </c>
      <c r="E50" s="13">
        <f>D50/B22*1000</f>
        <v/>
      </c>
      <c r="F50" s="13" t="n">
        <v>20</v>
      </c>
      <c r="G50" s="13" t="inlineStr">
        <is>
          <t>—</t>
        </is>
      </c>
      <c r="H50" s="16">
        <f>IF(E50&gt;=20,"✅","❌")</f>
        <v/>
      </c>
    </row>
    <row r="51">
      <c r="A51" s="7" t="inlineStr">
        <is>
          <t>锌(mg)</t>
        </is>
      </c>
      <c r="B51" s="13">
        <f>D8/100*1.8+D9/100*1.9+D10/100*6.6+D11/100*2.4+D12/100*1.3+D13/100*2.7+D14/100*4.0+D15/100*0.51+D16/100*0.6+D17/100*1.9</f>
        <v/>
      </c>
      <c r="C51" s="13">
        <f>ROUND(15.0*B5/3180,1)</f>
        <v/>
      </c>
      <c r="D51" s="13">
        <f>B51+C51</f>
        <v/>
      </c>
      <c r="E51" s="13">
        <f>D51/B22*1000</f>
        <v/>
      </c>
      <c r="F51" s="13" t="n">
        <v>18.5</v>
      </c>
      <c r="G51" s="13" t="inlineStr">
        <is>
          <t>—</t>
        </is>
      </c>
      <c r="H51" s="16">
        <f>IF(E51&gt;=18.5,"✅","❌")</f>
        <v/>
      </c>
    </row>
    <row r="52">
      <c r="A52" s="7" t="inlineStr">
        <is>
          <t>铜(mg)</t>
        </is>
      </c>
      <c r="B52" s="13">
        <f>D8/100*0.06+D9/100*0.06+D10/100*0.33+D11/100*0.39+D12/100*0.07+D13/100*0.49+D14/100*9.76+D15/100*0.046+D16/100*0.02+D17/100*0.24</f>
        <v/>
      </c>
      <c r="C52" s="13" t="n">
        <v>0</v>
      </c>
      <c r="D52" s="13">
        <f>B52+C52</f>
        <v/>
      </c>
      <c r="E52" s="13">
        <f>D52/B22*1000</f>
        <v/>
      </c>
      <c r="F52" s="13" t="n">
        <v>1.2</v>
      </c>
      <c r="G52" s="13" t="inlineStr">
        <is>
          <t>—</t>
        </is>
      </c>
      <c r="H52" s="16">
        <f>IF(E52&gt;=1.2,"✅","❌")</f>
        <v/>
      </c>
    </row>
    <row r="53">
      <c r="A53" s="7" t="inlineStr">
        <is>
          <t>锰(mg)</t>
        </is>
      </c>
      <c r="B53" s="13">
        <f>D8/100*0.02+D9/100*0.01+D10/100*0.05+D11/100*0.03+D12/100*0.03+D13/100*0.26+D14/100*0.31+D15/100*0.015+D16/100*0.01+D17/100*0.02</f>
        <v/>
      </c>
      <c r="C53" s="13">
        <f>ROUND(5.0*B5/3180,1)</f>
        <v/>
      </c>
      <c r="D53" s="13">
        <f>B53+C53</f>
        <v/>
      </c>
      <c r="E53" s="13">
        <f>D53/B22*1000</f>
        <v/>
      </c>
      <c r="F53" s="13" t="n">
        <v>1.2</v>
      </c>
      <c r="G53" s="13" t="inlineStr">
        <is>
          <t>—</t>
        </is>
      </c>
      <c r="H53" s="16">
        <f>IF(E53&gt;=1.2,"✅","❌")</f>
        <v/>
      </c>
    </row>
    <row r="54">
      <c r="A54" s="7" t="inlineStr">
        <is>
          <t>碘(mcg)</t>
        </is>
      </c>
      <c r="B54" s="13">
        <f>D8/100*1+D9/100*1+D10/100*5+D11/100*5+D12/100*27+D13/100*3+D14/100*3+D15/100*35+D16/100*1+D17/100*1</f>
        <v/>
      </c>
      <c r="C54" s="13">
        <f>ROUND(1650*B5/3180,1)</f>
        <v/>
      </c>
      <c r="D54" s="13">
        <f>B54+C54</f>
        <v/>
      </c>
      <c r="E54" s="13">
        <f>D54/B22*1000</f>
        <v/>
      </c>
      <c r="F54" s="13" t="n">
        <v>350</v>
      </c>
      <c r="G54" s="13" t="n">
        <v>9000</v>
      </c>
      <c r="H54" s="16">
        <f>IF(AND(E54&gt;=350,E54&lt;=9000),"✅","❌")</f>
        <v/>
      </c>
    </row>
    <row r="55">
      <c r="A55" s="7" t="inlineStr">
        <is>
          <t>硒(mcg)</t>
        </is>
      </c>
      <c r="B55" s="13">
        <f>D8/100*23.0+D9/100*32.5+D10/100*16.0+D11/100*21.8+D12/100*30.7+D13/100*54.6+D14/100*39.7+D15/100*36.5+D16/100*14.1+D17/100*14.0</f>
        <v/>
      </c>
      <c r="C55" s="13" t="n">
        <v>0</v>
      </c>
      <c r="D55" s="13">
        <f>B55+C55</f>
        <v/>
      </c>
      <c r="E55" s="13">
        <f>D55/B22*1000</f>
        <v/>
      </c>
      <c r="F55" s="13" t="n">
        <v>75</v>
      </c>
      <c r="G55" s="13" t="inlineStr">
        <is>
          <t>—</t>
        </is>
      </c>
      <c r="H55" s="16">
        <f>IF(E55&gt;=75,"✅","❌")</f>
        <v/>
      </c>
    </row>
    <row r="56">
      <c r="A56" s="7" t="inlineStr">
        <is>
          <t>牛磺酸(mg)</t>
        </is>
      </c>
      <c r="B56" s="13">
        <f>D8/100*40+D9/100*50+D10/100*145+D11/100*160+D12/100*20+D13/100*30+D14/100*40+D15/100*70+D16/100*10</f>
        <v/>
      </c>
      <c r="C56" s="13">
        <f>ROUND(3000*B5/3180,1)</f>
        <v/>
      </c>
      <c r="D56" s="13">
        <f>B56*0.4+C56</f>
        <v/>
      </c>
      <c r="E56" s="13">
        <f>D56/B22*1000</f>
        <v/>
      </c>
      <c r="F56" s="13" t="n">
        <v>250</v>
      </c>
      <c r="G56" s="13" t="inlineStr">
        <is>
          <t>—</t>
        </is>
      </c>
      <c r="H56" s="16">
        <f>IF(E56&gt;=250,"✅","❌")</f>
        <v/>
      </c>
    </row>
    <row r="57">
      <c r="A57" s="7" t="inlineStr">
        <is>
          <t>VA(IU)</t>
        </is>
      </c>
      <c r="B57" s="13">
        <f>D8/100*50+D9/100*7+D10/100*31+D12/100*520+D13/100*11078+D14/100*16898+D15/100*98+D16/100*150+D17/100*80</f>
        <v/>
      </c>
      <c r="C57" s="13" t="n">
        <v>0</v>
      </c>
      <c r="D57" s="13">
        <f>B57+C57</f>
        <v/>
      </c>
      <c r="E57" s="13">
        <f>D57/B22*1000</f>
        <v/>
      </c>
      <c r="F57" s="13" t="n">
        <v>3333</v>
      </c>
      <c r="G57" s="13" t="n">
        <v>333333</v>
      </c>
      <c r="H57" s="16">
        <f>IF(AND(E57&gt;=3333,E57&lt;=333333),"✅","❌")</f>
        <v/>
      </c>
    </row>
    <row r="58">
      <c r="A58" s="7" t="inlineStr">
        <is>
          <t>VD(IU)</t>
        </is>
      </c>
      <c r="B58" s="13">
        <f>D9/100*12+D12/100*82+D13/100*8+D14/100*49+D15/100*292+D16/100*24+D17/100*4</f>
        <v/>
      </c>
      <c r="C58" s="13">
        <f>ROUND(1000*B5/3180,1)</f>
        <v/>
      </c>
      <c r="D58" s="13">
        <f>B58+C58</f>
        <v/>
      </c>
      <c r="E58" s="13">
        <f>D58/B22*1000</f>
        <v/>
      </c>
      <c r="F58" s="13" t="n">
        <v>70</v>
      </c>
      <c r="G58" s="13" t="n">
        <v>7500</v>
      </c>
      <c r="H58" s="16">
        <f>IF(AND(E58&gt;=70,E58&lt;=7500),"✅","❌")</f>
        <v/>
      </c>
    </row>
    <row r="59">
      <c r="A59" s="7" t="inlineStr">
        <is>
          <t>VE(mg)</t>
        </is>
      </c>
      <c r="B59" s="13">
        <f>D8/100*0.2+D9/100*0.5+D10/100*0.7+D11/100*0.2+D12/100*1.1+D13/100*0.7+D14/100*0.5+D15/100*0.42+D16/100*0.3+D17/100*0.7</f>
        <v/>
      </c>
      <c r="C59" s="13">
        <f>ROUND(134.22*B5/3180,1)</f>
        <v/>
      </c>
      <c r="D59" s="13">
        <f>B59+C59</f>
        <v/>
      </c>
      <c r="E59" s="13">
        <f>D59/B22*1000</f>
        <v/>
      </c>
      <c r="F59" s="13" t="n">
        <v>10</v>
      </c>
      <c r="G59" s="13" t="inlineStr">
        <is>
          <t>—</t>
        </is>
      </c>
      <c r="H59" s="16">
        <f>IF(E59&gt;=10,"✅","❌")</f>
        <v/>
      </c>
    </row>
    <row r="60">
      <c r="A60" s="7" t="inlineStr">
        <is>
          <t>VB1(mg)</t>
        </is>
      </c>
      <c r="B60" s="13">
        <f>D8/100*0.07+D9/100*0.81+D10/100*0.13+D11/100*0.24+D12/100*0.04+D13/100*0.31+D14/100*0.19+D15/100*0.068+D16/100*0.01+D17/100*0.36</f>
        <v/>
      </c>
      <c r="C60" s="13">
        <f>ROUND(25.0*B5/3180,1)</f>
        <v/>
      </c>
      <c r="D60" s="13">
        <f>B60+C60</f>
        <v/>
      </c>
      <c r="E60" s="13">
        <f>D60/B22*1000</f>
        <v/>
      </c>
      <c r="F60" s="13" t="n">
        <v>1.4</v>
      </c>
      <c r="G60" s="13" t="inlineStr">
        <is>
          <t>—</t>
        </is>
      </c>
      <c r="H60" s="16">
        <f>IF(E60&gt;=1.4,"✅","❌")</f>
        <v/>
      </c>
    </row>
    <row r="61">
      <c r="A61" s="7" t="inlineStr">
        <is>
          <t>VB2(mg)</t>
        </is>
      </c>
      <c r="B61" s="13">
        <f>D8/100*0.16+D9/100*0.23+D10/100*0.73+D11/100*0.91+D12/100*0.46+D13/100*1.78+D14/100*2.76+D15/100*0.13+D16/100*0.07+D17/100*0.47</f>
        <v/>
      </c>
      <c r="C61" s="13">
        <f>ROUND(25.0*B5/3180,1)</f>
        <v/>
      </c>
      <c r="D61" s="13">
        <f>B61+C61</f>
        <v/>
      </c>
      <c r="E61" s="13">
        <f>D61/B22*1000</f>
        <v/>
      </c>
      <c r="F61" s="13" t="n">
        <v>1</v>
      </c>
      <c r="G61" s="13" t="inlineStr">
        <is>
          <t>—</t>
        </is>
      </c>
      <c r="H61" s="16">
        <f>IF(E61&gt;=1.0,"✅","❌")</f>
        <v/>
      </c>
    </row>
    <row r="62">
      <c r="A62" s="7" t="inlineStr">
        <is>
          <t>VB3(mg)</t>
        </is>
      </c>
      <c r="B62" s="13">
        <f>D8/100*5.3+D9/100*5.0+D10/100*4.8+D11/100*7.4+D12/100*0.1+D13/100*9.7+D14/100*13.2+D15/100*8.47+D16/100*2.5+D17/100*5.3</f>
        <v/>
      </c>
      <c r="C62" s="13">
        <f>ROUND(25.0*B5/3180,1)</f>
        <v/>
      </c>
      <c r="D62" s="13">
        <f>B62+C62</f>
        <v/>
      </c>
      <c r="E62" s="13">
        <f>D62/B22*1000</f>
        <v/>
      </c>
      <c r="F62" s="13" t="n">
        <v>10</v>
      </c>
      <c r="G62" s="13" t="inlineStr">
        <is>
          <t>—</t>
        </is>
      </c>
      <c r="H62" s="16">
        <f>IF(E62&gt;=10,"✅","❌")</f>
        <v/>
      </c>
    </row>
    <row r="63">
      <c r="A63" s="7" t="inlineStr">
        <is>
          <t>VB6(mg)</t>
        </is>
      </c>
      <c r="B63" s="13">
        <f>D8/100*0.33+D9/100*0.42+D10/100*0.29+D11/100*0.28+D12/100*0.14+D13/100*0.85+D14/100*1.08+D15/100*0.315+D16/100*0.05+D17/100*0.34</f>
        <v/>
      </c>
      <c r="C63" s="13">
        <f>ROUND(25.0*B5/3180,1)</f>
        <v/>
      </c>
      <c r="D63" s="13">
        <f>B63+C63</f>
        <v/>
      </c>
      <c r="E63" s="13">
        <f>D63/B22*1000</f>
        <v/>
      </c>
      <c r="F63" s="13" t="n">
        <v>0.625</v>
      </c>
      <c r="G63" s="13" t="inlineStr">
        <is>
          <t>—</t>
        </is>
      </c>
      <c r="H63" s="16">
        <f>IF(E63&gt;=0.625,"✅","❌")</f>
        <v/>
      </c>
    </row>
    <row r="64">
      <c r="A64" s="7" t="inlineStr">
        <is>
          <t>VB12(mcg)</t>
        </is>
      </c>
      <c r="B64" s="13">
        <f>D8/100*0.4+D9/100*0.6+D10/100*7.3+D11/100*8.6+D12/100*0.9+D13/100*16.6+D14/100*59.3+D15/100*7.4+D16/100*0.3+D17/100*0.4</f>
        <v/>
      </c>
      <c r="C64" s="13">
        <f>ROUND(25.0*B5/3180,1)</f>
        <v/>
      </c>
      <c r="D64" s="13">
        <f>B64+C64</f>
        <v/>
      </c>
      <c r="E64" s="13">
        <f>D64/B22*1000</f>
        <v/>
      </c>
      <c r="F64" s="13" t="n">
        <v>5.6</v>
      </c>
      <c r="G64" s="13" t="inlineStr">
        <is>
          <t>—</t>
        </is>
      </c>
      <c r="H64" s="16">
        <f>IF(E64&gt;=5.6,"✅","❌")</f>
        <v/>
      </c>
    </row>
    <row r="65">
      <c r="A65" s="7" t="inlineStr">
        <is>
          <t>胆碱(mg)</t>
        </is>
      </c>
      <c r="B65" s="13">
        <f>D8/100*65+D9/100*80+D10/100*65+D11/100*150+D12/100*293+D13/100*290+D14/100*333+D15/100*65+D16/100*46+D17/100*64</f>
        <v/>
      </c>
      <c r="C65" s="13" t="n">
        <v>0</v>
      </c>
      <c r="D65" s="13">
        <f>B65+C65</f>
        <v/>
      </c>
      <c r="E65" s="13">
        <f>D65/B22*1000</f>
        <v/>
      </c>
      <c r="F65" s="13" t="n">
        <v>637</v>
      </c>
      <c r="G65" s="13" t="inlineStr">
        <is>
          <t>—</t>
        </is>
      </c>
      <c r="H65" s="16">
        <f>IF(E65&gt;=637,"✅","❌")</f>
        <v/>
      </c>
    </row>
    <row r="66">
      <c r="A66" s="7" t="inlineStr">
        <is>
          <t>叶酸(mcg)</t>
        </is>
      </c>
      <c r="B66" s="13">
        <f>D8/100*6+D9/100*1+D10/100*72+D11/100*3+D12/100*47+D13/100*588+D14/100*290+D15/100*2+D16/100*1+D17/100*25</f>
        <v/>
      </c>
      <c r="C66" s="13">
        <f>ROUND(200.0*B5/3180,1)</f>
        <v/>
      </c>
      <c r="D66" s="13">
        <f>B66+C66</f>
        <v/>
      </c>
      <c r="E66" s="13">
        <f>D66/B22*1000</f>
        <v/>
      </c>
      <c r="F66" s="13" t="n">
        <v>188</v>
      </c>
      <c r="G66" s="13" t="inlineStr">
        <is>
          <t>—</t>
        </is>
      </c>
      <c r="H66" s="16">
        <f>IF(E66&gt;=188,"✅","❌")</f>
        <v/>
      </c>
    </row>
    <row r="67">
      <c r="A67" s="7" t="inlineStr">
        <is>
          <t>泛酸(mg)</t>
        </is>
      </c>
      <c r="B67" s="13">
        <f>D8/100*1.01+D9/100*0.6+D10/100*2.51+D11/100*2.25+D12/100*1.53+D13/100*6.5+D14/100*7.17+D15/100*0.42+D16/100*0.53+D17/100*1.6</f>
        <v/>
      </c>
      <c r="C67" s="13">
        <f>ROUND(25.0*B5/3180,1)</f>
        <v/>
      </c>
      <c r="D67" s="13">
        <f>B67+C67</f>
        <v/>
      </c>
      <c r="E67" s="13">
        <f>D67/B22*1000</f>
        <v/>
      </c>
      <c r="F67" s="13" t="n">
        <v>1.44</v>
      </c>
      <c r="G67" s="13" t="inlineStr">
        <is>
          <t>—</t>
        </is>
      </c>
      <c r="H67" s="16">
        <f>IF(E67&gt;=1.44,"✅","❌")</f>
        <v/>
      </c>
    </row>
    <row r="68">
      <c r="A68" s="7" t="inlineStr">
        <is>
          <t>花生四烯酸(mg)</t>
        </is>
      </c>
      <c r="B68" s="13">
        <f>D8/100*50+D9/100*70+D10/100*84+D11/100*25+D12/100*155+D13/100*260+D14/100*200+D15/100*60+D16/100*250</f>
        <v/>
      </c>
      <c r="C68" s="13" t="n">
        <v>0</v>
      </c>
      <c r="D68" s="13">
        <f>B68+C68</f>
        <v/>
      </c>
      <c r="E68" s="13">
        <f>D68/B22*1000</f>
        <v/>
      </c>
      <c r="F68" s="13" t="n">
        <v>15</v>
      </c>
      <c r="G68" s="13" t="inlineStr">
        <is>
          <t>—</t>
        </is>
      </c>
      <c r="H68" s="16">
        <f>IF(E68&gt;=15,"✅","❌")</f>
        <v/>
      </c>
    </row>
    <row r="69">
      <c r="A69" s="7" t="inlineStr">
        <is>
          <t>EPA+DHA(mg)</t>
        </is>
      </c>
      <c r="B69" s="13">
        <f>D15/100*941</f>
        <v/>
      </c>
      <c r="C69" s="13">
        <f>ROUND(3000*B5/3180,1)</f>
        <v/>
      </c>
      <c r="D69" s="13">
        <f>B69+C69</f>
        <v/>
      </c>
      <c r="E69" s="13">
        <f>D69/B22*1000</f>
        <v/>
      </c>
      <c r="F69" s="13" t="n">
        <v>25</v>
      </c>
      <c r="G69" s="13" t="inlineStr">
        <is>
          <t>—</t>
        </is>
      </c>
      <c r="H69" s="16">
        <f>IF(E69&gt;=25,"✅","❌")</f>
        <v/>
      </c>
    </row>
    <row r="70">
      <c r="A70" s="7" t="inlineStr">
        <is>
          <t>亚油酸(g)</t>
        </is>
      </c>
      <c r="B70" s="13">
        <f>D8/100*0.748+D9/100*0.49+D10/100*1.918+D11/100*0.395+D12/100*1.554+D13/100*0.475+D14/100*0.299+D15/100*0.1+D16/100*8.288+D17/100*0.752</f>
        <v/>
      </c>
      <c r="C70" s="13" t="n">
        <v>0</v>
      </c>
      <c r="D70" s="13">
        <f>B70+C70</f>
        <v/>
      </c>
      <c r="E70" s="13">
        <f>D70/B22*1000</f>
        <v/>
      </c>
      <c r="F70" s="13" t="n">
        <v>1.4</v>
      </c>
      <c r="G70" s="13" t="inlineStr">
        <is>
          <t>—</t>
        </is>
      </c>
      <c r="H70" s="16">
        <f>IF(E70&gt;=1.4,"✅","❌")</f>
        <v/>
      </c>
    </row>
    <row r="72">
      <c r="A72" s="17" t="inlineStr">
        <is>
          <t>钙磷比</t>
        </is>
      </c>
      <c r="B72" s="14">
        <f>D45/D46</f>
        <v/>
      </c>
      <c r="C72" s="7" t="inlineStr">
        <is>
          <t>（NRC推荐 1.1–1.5）</t>
        </is>
      </c>
      <c r="E72" s="16">
        <f>IF(AND(B72&gt;=1.1,B72&lt;=1.5),"✅","❌")</f>
        <v/>
      </c>
    </row>
    <row r="73">
      <c r="A73" s="17" t="inlineStr">
        <is>
          <t>通过项数</t>
        </is>
      </c>
      <c r="B73" s="16">
        <f>COUNTIF(H43:H71,"✅")&amp;"/29"</f>
        <v/>
      </c>
    </row>
    <row r="75">
      <c r="A75" s="12" t="inlineStr">
        <is>
          <t>每日分配（参考）</t>
        </is>
      </c>
    </row>
    <row r="76">
      <c r="A76" s="6" t="inlineStr">
        <is>
          <t>猫</t>
        </is>
      </c>
      <c r="B76" s="6" t="inlineStr">
        <is>
          <t>干粮(g)</t>
        </is>
      </c>
      <c r="C76" s="6" t="inlineStr">
        <is>
          <t>猫饭(g)</t>
        </is>
      </c>
      <c r="D76" s="6" t="inlineStr">
        <is>
          <t>总热量(kcal)</t>
        </is>
      </c>
    </row>
    <row r="77">
      <c r="A77" s="7" t="inlineStr">
        <is>
          <t>公猫A (5.8kg)</t>
        </is>
      </c>
      <c r="B77" s="18" t="n">
        <v>30</v>
      </c>
      <c r="C77" s="18" t="n">
        <v>60</v>
      </c>
      <c r="D77" s="15">
        <f>30*4+60*B23</f>
        <v/>
      </c>
    </row>
    <row r="78">
      <c r="A78" s="7" t="inlineStr">
        <is>
          <t>母猫B (4.5kg)</t>
        </is>
      </c>
      <c r="B78" s="18" t="n">
        <v>30</v>
      </c>
      <c r="C78" s="18" t="n">
        <v>50</v>
      </c>
      <c r="D78" s="15">
        <f>30*4+50*B23</f>
        <v/>
      </c>
    </row>
    <row r="79">
      <c r="A79" s="7" t="inlineStr">
        <is>
          <t>幼猫C (2.5kg)</t>
        </is>
      </c>
      <c r="B79" s="18" t="n">
        <v>40</v>
      </c>
      <c r="C79" s="18" t="n">
        <v>80</v>
      </c>
      <c r="D79" s="15">
        <f>40*4+80*B23</f>
        <v/>
      </c>
    </row>
    <row r="81">
      <c r="A81" s="11" t="inlineStr">
        <is>
          <t>合计</t>
        </is>
      </c>
      <c r="D81" s="15">
        <f>SUM(D78:D80)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营养素（每100g生重）</t>
        </is>
      </c>
    </row>
    <row r="3">
      <c r="A3" s="6" t="inlineStr">
        <is>
          <t>营养素</t>
        </is>
      </c>
      <c r="B3" s="6" t="inlineStr">
        <is>
          <t>鸡腿肉</t>
        </is>
      </c>
      <c r="C3" s="6" t="inlineStr">
        <is>
          <t>猪瘦肉</t>
        </is>
      </c>
      <c r="D3" s="6" t="inlineStr">
        <is>
          <t>鸡心</t>
        </is>
      </c>
      <c r="E3" s="6" t="inlineStr">
        <is>
          <t>牛心</t>
        </is>
      </c>
      <c r="F3" s="6" t="inlineStr">
        <is>
          <t>鸡蛋</t>
        </is>
      </c>
      <c r="G3" s="6" t="inlineStr">
        <is>
          <t>鸡肝</t>
        </is>
      </c>
      <c r="H3" s="6" t="inlineStr">
        <is>
          <t>牛肝</t>
        </is>
      </c>
      <c r="I3" s="6" t="inlineStr">
        <is>
          <t>鲅鱼</t>
        </is>
      </c>
      <c r="J3" s="6" t="inlineStr">
        <is>
          <t>鸡皮</t>
        </is>
      </c>
      <c r="K3" s="6" t="inlineStr">
        <is>
          <t>鸭胸</t>
        </is>
      </c>
    </row>
    <row r="4">
      <c r="A4" s="7" t="inlineStr">
        <is>
          <t>能量(kcal)</t>
        </is>
      </c>
      <c r="B4" s="19" t="n">
        <v>119</v>
      </c>
      <c r="C4" s="19" t="n">
        <v>143</v>
      </c>
      <c r="D4" s="19" t="n">
        <v>153</v>
      </c>
      <c r="E4" s="19" t="n">
        <v>112</v>
      </c>
      <c r="F4" s="19" t="n">
        <v>143</v>
      </c>
      <c r="G4" s="19" t="n">
        <v>119</v>
      </c>
      <c r="H4" s="19" t="n">
        <v>135</v>
      </c>
      <c r="I4" s="19" t="n">
        <v>139</v>
      </c>
      <c r="J4" s="19" t="n">
        <v>349</v>
      </c>
      <c r="K4" s="19" t="n">
        <v>135</v>
      </c>
    </row>
    <row r="5">
      <c r="A5" s="7" t="inlineStr">
        <is>
          <t>蛋白质(g)</t>
        </is>
      </c>
      <c r="B5" s="19" t="n">
        <v>19.6</v>
      </c>
      <c r="C5" s="19" t="n">
        <v>21.1</v>
      </c>
      <c r="D5" s="19" t="n">
        <v>15.6</v>
      </c>
      <c r="E5" s="19" t="n">
        <v>17.7</v>
      </c>
      <c r="F5" s="19" t="n">
        <v>12.6</v>
      </c>
      <c r="G5" s="19" t="n">
        <v>16.9</v>
      </c>
      <c r="H5" s="19" t="n">
        <v>20.4</v>
      </c>
      <c r="I5" s="19" t="n">
        <v>19.29</v>
      </c>
      <c r="J5" s="19" t="n">
        <v>13.3</v>
      </c>
      <c r="K5" s="19" t="n">
        <v>18.28</v>
      </c>
    </row>
    <row r="6">
      <c r="A6" s="7" t="inlineStr">
        <is>
          <t>脂肪(g)</t>
        </is>
      </c>
      <c r="B6" s="19" t="n">
        <v>4.3</v>
      </c>
      <c r="C6" s="19" t="n">
        <v>6.9</v>
      </c>
      <c r="D6" s="19" t="n">
        <v>9.300000000000001</v>
      </c>
      <c r="E6" s="19" t="n">
        <v>3.9</v>
      </c>
      <c r="F6" s="19" t="n">
        <v>9.9</v>
      </c>
      <c r="G6" s="19" t="n">
        <v>4.8</v>
      </c>
      <c r="H6" s="19" t="n">
        <v>3.6</v>
      </c>
      <c r="I6" s="19" t="n">
        <v>6.3</v>
      </c>
      <c r="J6" s="19" t="n">
        <v>32.4</v>
      </c>
      <c r="K6" s="19" t="n">
        <v>5.95</v>
      </c>
    </row>
    <row r="7">
      <c r="A7" s="7" t="inlineStr">
        <is>
          <t>磷(mg)</t>
        </is>
      </c>
      <c r="B7" s="19" t="n">
        <v>178</v>
      </c>
      <c r="C7" s="19" t="n">
        <v>197</v>
      </c>
      <c r="D7" s="19" t="n">
        <v>177</v>
      </c>
      <c r="E7" s="19" t="n">
        <v>212</v>
      </c>
      <c r="F7" s="19" t="n">
        <v>198</v>
      </c>
      <c r="G7" s="19" t="n">
        <v>297</v>
      </c>
      <c r="H7" s="19" t="n">
        <v>387</v>
      </c>
      <c r="I7" s="19" t="n">
        <v>171</v>
      </c>
      <c r="J7" s="19" t="n">
        <v>68</v>
      </c>
      <c r="K7" s="19" t="n">
        <v>203</v>
      </c>
    </row>
    <row r="8">
      <c r="A8" s="7" t="inlineStr">
        <is>
          <t>钙(mg)</t>
        </is>
      </c>
      <c r="B8" s="19" t="n">
        <v>9</v>
      </c>
      <c r="C8" s="19" t="n">
        <v>5</v>
      </c>
      <c r="D8" s="19" t="n">
        <v>12</v>
      </c>
      <c r="E8" s="19" t="n">
        <v>7</v>
      </c>
      <c r="F8" s="19" t="n">
        <v>56</v>
      </c>
      <c r="G8" s="19" t="n">
        <v>8</v>
      </c>
      <c r="H8" s="19" t="n">
        <v>5</v>
      </c>
      <c r="I8" s="19" t="n">
        <v>11</v>
      </c>
      <c r="J8" s="19" t="n">
        <v>11</v>
      </c>
      <c r="K8" s="19" t="n">
        <v>11</v>
      </c>
    </row>
    <row r="9">
      <c r="A9" s="7" t="inlineStr">
        <is>
          <t>铁(mg)</t>
        </is>
      </c>
      <c r="B9" s="19" t="n">
        <v>0.8</v>
      </c>
      <c r="C9" s="19" t="n">
        <v>0.8</v>
      </c>
      <c r="D9" s="19" t="n">
        <v>5.9</v>
      </c>
      <c r="E9" s="19" t="n">
        <v>4.3</v>
      </c>
      <c r="F9" s="19" t="n">
        <v>1.8</v>
      </c>
      <c r="G9" s="19" t="n">
        <v>9</v>
      </c>
      <c r="H9" s="19" t="n">
        <v>4.9</v>
      </c>
      <c r="I9" s="19" t="n">
        <v>0.44</v>
      </c>
      <c r="J9" s="19" t="n">
        <v>0.7</v>
      </c>
      <c r="K9" s="19" t="n">
        <v>2.4</v>
      </c>
    </row>
    <row r="10">
      <c r="A10" s="7" t="inlineStr">
        <is>
          <t>锌(mg)</t>
        </is>
      </c>
      <c r="B10" s="19" t="n">
        <v>1.8</v>
      </c>
      <c r="C10" s="19" t="n">
        <v>1.9</v>
      </c>
      <c r="D10" s="19" t="n">
        <v>6.6</v>
      </c>
      <c r="E10" s="19" t="n">
        <v>2.4</v>
      </c>
      <c r="F10" s="19" t="n">
        <v>1.3</v>
      </c>
      <c r="G10" s="19" t="n">
        <v>2.7</v>
      </c>
      <c r="H10" s="19" t="n">
        <v>4</v>
      </c>
      <c r="I10" s="19" t="n">
        <v>0.51</v>
      </c>
      <c r="J10" s="19" t="n">
        <v>0.6</v>
      </c>
      <c r="K10" s="19" t="n">
        <v>1.9</v>
      </c>
    </row>
    <row r="11">
      <c r="A11" s="7" t="inlineStr">
        <is>
          <t>铜(mg)</t>
        </is>
      </c>
      <c r="B11" s="19" t="n">
        <v>0.06</v>
      </c>
      <c r="C11" s="19" t="n">
        <v>0.06</v>
      </c>
      <c r="D11" s="19" t="n">
        <v>0.33</v>
      </c>
      <c r="E11" s="19" t="n">
        <v>0.39</v>
      </c>
      <c r="F11" s="19" t="n">
        <v>0.07000000000000001</v>
      </c>
      <c r="G11" s="19" t="n">
        <v>0.49</v>
      </c>
      <c r="H11" s="19" t="n">
        <v>9.76</v>
      </c>
      <c r="I11" s="19" t="n">
        <v>0.046</v>
      </c>
      <c r="J11" s="19" t="n">
        <v>0.02</v>
      </c>
      <c r="K11" s="19" t="n">
        <v>0.24</v>
      </c>
    </row>
    <row r="12">
      <c r="A12" s="7" t="inlineStr">
        <is>
          <t>锰(mg)</t>
        </is>
      </c>
      <c r="B12" s="19" t="n">
        <v>0.02</v>
      </c>
      <c r="C12" s="19" t="n">
        <v>0.01</v>
      </c>
      <c r="D12" s="19" t="n">
        <v>0.05</v>
      </c>
      <c r="E12" s="19" t="n">
        <v>0.03</v>
      </c>
      <c r="F12" s="19" t="n">
        <v>0.03</v>
      </c>
      <c r="G12" s="19" t="n">
        <v>0.26</v>
      </c>
      <c r="H12" s="19" t="n">
        <v>0.31</v>
      </c>
      <c r="I12" s="19" t="n">
        <v>0.015</v>
      </c>
      <c r="J12" s="19" t="n">
        <v>0.01</v>
      </c>
      <c r="K12" s="19" t="n">
        <v>0.02</v>
      </c>
    </row>
    <row r="13">
      <c r="A13" s="7" t="inlineStr">
        <is>
          <t>钾(mg)</t>
        </is>
      </c>
      <c r="B13" s="19" t="n">
        <v>242</v>
      </c>
      <c r="C13" s="19" t="n">
        <v>389</v>
      </c>
      <c r="D13" s="19" t="n">
        <v>176.066</v>
      </c>
      <c r="E13" s="19" t="n">
        <v>286.984</v>
      </c>
      <c r="F13" s="19" t="n">
        <v>138</v>
      </c>
      <c r="G13" s="19" t="n">
        <v>230</v>
      </c>
      <c r="H13" s="19" t="n">
        <v>313</v>
      </c>
      <c r="I13" s="19" t="n">
        <v>446</v>
      </c>
      <c r="J13" s="19" t="n">
        <v>119</v>
      </c>
      <c r="K13" s="19" t="n">
        <v>271</v>
      </c>
    </row>
    <row r="14">
      <c r="A14" s="7" t="inlineStr">
        <is>
          <t>钠(mg)</t>
        </is>
      </c>
      <c r="B14" s="19" t="n">
        <v>95</v>
      </c>
      <c r="C14" s="19" t="n">
        <v>52</v>
      </c>
      <c r="D14" s="19" t="n">
        <v>73.934</v>
      </c>
      <c r="E14" s="19" t="n">
        <v>97.989</v>
      </c>
      <c r="F14" s="19" t="n">
        <v>142</v>
      </c>
      <c r="G14" s="19" t="n">
        <v>71</v>
      </c>
      <c r="H14" s="19" t="n">
        <v>69</v>
      </c>
      <c r="I14" s="19" t="n">
        <v>59</v>
      </c>
      <c r="J14" s="19" t="n">
        <v>51</v>
      </c>
      <c r="K14" s="19" t="n">
        <v>74</v>
      </c>
    </row>
    <row r="15">
      <c r="A15" s="7" t="inlineStr">
        <is>
          <t>碘(mcg)</t>
        </is>
      </c>
      <c r="B15" s="19" t="n">
        <v>1</v>
      </c>
      <c r="C15" s="19" t="n">
        <v>1</v>
      </c>
      <c r="D15" s="19" t="n">
        <v>5</v>
      </c>
      <c r="E15" s="19" t="n">
        <v>5</v>
      </c>
      <c r="F15" s="19" t="n">
        <v>27</v>
      </c>
      <c r="G15" s="19" t="n">
        <v>3</v>
      </c>
      <c r="H15" s="19" t="n">
        <v>3</v>
      </c>
      <c r="I15" s="19" t="n">
        <v>35</v>
      </c>
      <c r="J15" s="19" t="n">
        <v>1</v>
      </c>
      <c r="K15" s="19" t="n">
        <v>1</v>
      </c>
    </row>
    <row r="16">
      <c r="A16" s="7" t="inlineStr">
        <is>
          <t>硒(mcg)</t>
        </is>
      </c>
      <c r="B16" s="19" t="n">
        <v>23</v>
      </c>
      <c r="C16" s="19" t="n">
        <v>32.5</v>
      </c>
      <c r="D16" s="19" t="n">
        <v>16</v>
      </c>
      <c r="E16" s="19" t="n">
        <v>21.8</v>
      </c>
      <c r="F16" s="19" t="n">
        <v>30.7</v>
      </c>
      <c r="G16" s="19" t="n">
        <v>54.6</v>
      </c>
      <c r="H16" s="19" t="n">
        <v>39.7</v>
      </c>
      <c r="I16" s="19" t="n">
        <v>36.5</v>
      </c>
      <c r="J16" s="19" t="n">
        <v>14.1</v>
      </c>
      <c r="K16" s="19" t="n">
        <v>14</v>
      </c>
    </row>
    <row r="17">
      <c r="A17" s="7" t="inlineStr">
        <is>
          <t>VA(IU)</t>
        </is>
      </c>
      <c r="B17" s="19" t="n">
        <v>50</v>
      </c>
      <c r="C17" s="19" t="n">
        <v>7</v>
      </c>
      <c r="D17" s="19" t="n">
        <v>31</v>
      </c>
      <c r="E17" s="19" t="n">
        <v>0</v>
      </c>
      <c r="F17" s="19" t="n">
        <v>520</v>
      </c>
      <c r="G17" s="19" t="n">
        <v>11078</v>
      </c>
      <c r="H17" s="19" t="n">
        <v>16898</v>
      </c>
      <c r="I17" s="19" t="n">
        <v>98</v>
      </c>
      <c r="J17" s="19" t="n">
        <v>150</v>
      </c>
      <c r="K17" s="19" t="n">
        <v>80</v>
      </c>
    </row>
    <row r="18">
      <c r="A18" s="7" t="inlineStr">
        <is>
          <t>VD(IU)</t>
        </is>
      </c>
      <c r="B18" s="19" t="n">
        <v>0</v>
      </c>
      <c r="C18" s="19" t="n">
        <v>12</v>
      </c>
      <c r="D18" s="19" t="n">
        <v>0</v>
      </c>
      <c r="E18" s="19" t="n">
        <v>0</v>
      </c>
      <c r="F18" s="19" t="n">
        <v>82</v>
      </c>
      <c r="G18" s="19" t="n">
        <v>8</v>
      </c>
      <c r="H18" s="19" t="n">
        <v>49</v>
      </c>
      <c r="I18" s="19" t="n">
        <v>292</v>
      </c>
      <c r="J18" s="19" t="n">
        <v>24</v>
      </c>
      <c r="K18" s="19" t="n">
        <v>4</v>
      </c>
    </row>
    <row r="19">
      <c r="A19" s="7" t="inlineStr">
        <is>
          <t>VE(mg)</t>
        </is>
      </c>
      <c r="B19" s="19" t="n">
        <v>0.2</v>
      </c>
      <c r="C19" s="19" t="n">
        <v>0.5</v>
      </c>
      <c r="D19" s="19" t="n">
        <v>0.7</v>
      </c>
      <c r="E19" s="19" t="n">
        <v>0.2</v>
      </c>
      <c r="F19" s="19" t="n">
        <v>1.1</v>
      </c>
      <c r="G19" s="19" t="n">
        <v>0.7</v>
      </c>
      <c r="H19" s="19" t="n">
        <v>0.5</v>
      </c>
      <c r="I19" s="19" t="n">
        <v>0.42</v>
      </c>
      <c r="J19" s="19" t="n">
        <v>0.3</v>
      </c>
      <c r="K19" s="19" t="n">
        <v>0.7</v>
      </c>
    </row>
    <row r="20">
      <c r="A20" s="7" t="inlineStr">
        <is>
          <t>VB1(mg)</t>
        </is>
      </c>
      <c r="B20" s="19" t="n">
        <v>0.07000000000000001</v>
      </c>
      <c r="C20" s="19" t="n">
        <v>0.8100000000000001</v>
      </c>
      <c r="D20" s="19" t="n">
        <v>0.13</v>
      </c>
      <c r="E20" s="19" t="n">
        <v>0.24</v>
      </c>
      <c r="F20" s="19" t="n">
        <v>0.04</v>
      </c>
      <c r="G20" s="19" t="n">
        <v>0.31</v>
      </c>
      <c r="H20" s="19" t="n">
        <v>0.19</v>
      </c>
      <c r="I20" s="19" t="n">
        <v>0.068</v>
      </c>
      <c r="J20" s="19" t="n">
        <v>0.01</v>
      </c>
      <c r="K20" s="19" t="n">
        <v>0.36</v>
      </c>
    </row>
    <row r="21">
      <c r="A21" s="7" t="inlineStr">
        <is>
          <t>VB2(mg)</t>
        </is>
      </c>
      <c r="B21" s="19" t="n">
        <v>0.16</v>
      </c>
      <c r="C21" s="19" t="n">
        <v>0.23</v>
      </c>
      <c r="D21" s="19" t="n">
        <v>0.73</v>
      </c>
      <c r="E21" s="19" t="n">
        <v>0.91</v>
      </c>
      <c r="F21" s="19" t="n">
        <v>0.46</v>
      </c>
      <c r="G21" s="19" t="n">
        <v>1.78</v>
      </c>
      <c r="H21" s="19" t="n">
        <v>2.76</v>
      </c>
      <c r="I21" s="19" t="n">
        <v>0.13</v>
      </c>
      <c r="J21" s="19" t="n">
        <v>0.07000000000000001</v>
      </c>
      <c r="K21" s="19" t="n">
        <v>0.47</v>
      </c>
    </row>
    <row r="22">
      <c r="A22" s="7" t="inlineStr">
        <is>
          <t>VB3(mg)</t>
        </is>
      </c>
      <c r="B22" s="19" t="n">
        <v>5.3</v>
      </c>
      <c r="C22" s="19" t="n">
        <v>5</v>
      </c>
      <c r="D22" s="19" t="n">
        <v>4.8</v>
      </c>
      <c r="E22" s="19" t="n">
        <v>7.4</v>
      </c>
      <c r="F22" s="19" t="n">
        <v>0.1</v>
      </c>
      <c r="G22" s="19" t="n">
        <v>9.699999999999999</v>
      </c>
      <c r="H22" s="19" t="n">
        <v>13.2</v>
      </c>
      <c r="I22" s="19" t="n">
        <v>8.470000000000001</v>
      </c>
      <c r="J22" s="19" t="n">
        <v>2.5</v>
      </c>
      <c r="K22" s="19" t="n">
        <v>5.3</v>
      </c>
    </row>
    <row r="23">
      <c r="A23" s="7" t="inlineStr">
        <is>
          <t>VB6(mg)</t>
        </is>
      </c>
      <c r="B23" s="19" t="n">
        <v>0.33</v>
      </c>
      <c r="C23" s="19" t="n">
        <v>0.42</v>
      </c>
      <c r="D23" s="19" t="n">
        <v>0.29</v>
      </c>
      <c r="E23" s="19" t="n">
        <v>0.28</v>
      </c>
      <c r="F23" s="19" t="n">
        <v>0.14</v>
      </c>
      <c r="G23" s="19" t="n">
        <v>0.85</v>
      </c>
      <c r="H23" s="19" t="n">
        <v>1.08</v>
      </c>
      <c r="I23" s="19" t="n">
        <v>0.315</v>
      </c>
      <c r="J23" s="19" t="n">
        <v>0.05</v>
      </c>
      <c r="K23" s="19" t="n">
        <v>0.34</v>
      </c>
    </row>
    <row r="24">
      <c r="A24" s="7" t="inlineStr">
        <is>
          <t>VB12(mcg)</t>
        </is>
      </c>
      <c r="B24" s="19" t="n">
        <v>0.4</v>
      </c>
      <c r="C24" s="19" t="n">
        <v>0.6</v>
      </c>
      <c r="D24" s="19" t="n">
        <v>7.3</v>
      </c>
      <c r="E24" s="19" t="n">
        <v>8.6</v>
      </c>
      <c r="F24" s="19" t="n">
        <v>0.9</v>
      </c>
      <c r="G24" s="19" t="n">
        <v>16.6</v>
      </c>
      <c r="H24" s="19" t="n">
        <v>59.3</v>
      </c>
      <c r="I24" s="19" t="n">
        <v>7.4</v>
      </c>
      <c r="J24" s="19" t="n">
        <v>0.3</v>
      </c>
      <c r="K24" s="19" t="n">
        <v>0.4</v>
      </c>
    </row>
    <row r="25">
      <c r="A25" s="7" t="inlineStr">
        <is>
          <t>牛磺酸(mg)</t>
        </is>
      </c>
      <c r="B25" s="19" t="n">
        <v>40</v>
      </c>
      <c r="C25" s="19" t="n">
        <v>50</v>
      </c>
      <c r="D25" s="19" t="n">
        <v>145</v>
      </c>
      <c r="E25" s="19" t="n">
        <v>160</v>
      </c>
      <c r="F25" s="19" t="n">
        <v>20</v>
      </c>
      <c r="G25" s="19" t="n">
        <v>30</v>
      </c>
      <c r="H25" s="19" t="n">
        <v>40</v>
      </c>
      <c r="I25" s="19" t="n">
        <v>70</v>
      </c>
      <c r="J25" s="19" t="n">
        <v>10</v>
      </c>
      <c r="K25" s="19" t="n">
        <v>0</v>
      </c>
    </row>
    <row r="26">
      <c r="A26" s="7" t="inlineStr">
        <is>
          <t>花生四烯酸(mg)</t>
        </is>
      </c>
      <c r="B26" s="19" t="n">
        <v>50</v>
      </c>
      <c r="C26" s="19" t="n">
        <v>70</v>
      </c>
      <c r="D26" s="19" t="n">
        <v>84</v>
      </c>
      <c r="E26" s="19" t="n">
        <v>25</v>
      </c>
      <c r="F26" s="19" t="n">
        <v>155</v>
      </c>
      <c r="G26" s="19" t="n">
        <v>260</v>
      </c>
      <c r="H26" s="19" t="n">
        <v>200</v>
      </c>
      <c r="I26" s="19" t="n">
        <v>60</v>
      </c>
      <c r="J26" s="19" t="n">
        <v>250</v>
      </c>
      <c r="K26" s="19" t="n">
        <v>0</v>
      </c>
    </row>
    <row r="27">
      <c r="A27" s="7" t="inlineStr">
        <is>
          <t>EPA+DHA(mg)</t>
        </is>
      </c>
      <c r="B27" s="19" t="n">
        <v>0</v>
      </c>
      <c r="C27" s="19" t="n">
        <v>0</v>
      </c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941</v>
      </c>
      <c r="J27" s="19" t="n">
        <v>0</v>
      </c>
      <c r="K27" s="19" t="n">
        <v>0</v>
      </c>
    </row>
    <row r="28">
      <c r="A28" s="7" t="inlineStr">
        <is>
          <t>亚油酸(g)</t>
        </is>
      </c>
      <c r="B28" s="19" t="n">
        <v>0.748</v>
      </c>
      <c r="C28" s="19" t="n">
        <v>0.49</v>
      </c>
      <c r="D28" s="19" t="n">
        <v>1.918</v>
      </c>
      <c r="E28" s="19" t="n">
        <v>0.395</v>
      </c>
      <c r="F28" s="19" t="n">
        <v>1.554</v>
      </c>
      <c r="G28" s="19" t="n">
        <v>0.475</v>
      </c>
      <c r="H28" s="19" t="n">
        <v>0.299</v>
      </c>
      <c r="I28" s="19" t="n">
        <v>0.1</v>
      </c>
      <c r="J28" s="19" t="n">
        <v>8.288</v>
      </c>
      <c r="K28" s="19" t="n">
        <v>0.752</v>
      </c>
    </row>
    <row r="29">
      <c r="A29" s="7" t="inlineStr">
        <is>
          <t>镁(mg)</t>
        </is>
      </c>
      <c r="B29" s="19" t="n">
        <v>23</v>
      </c>
      <c r="C29" s="19" t="n">
        <v>25</v>
      </c>
      <c r="D29" s="19" t="n">
        <v>15</v>
      </c>
      <c r="E29" s="19" t="n">
        <v>21</v>
      </c>
      <c r="F29" s="19" t="n">
        <v>12</v>
      </c>
      <c r="G29" s="19" t="n">
        <v>19</v>
      </c>
      <c r="H29" s="19" t="n">
        <v>20</v>
      </c>
      <c r="I29" s="19" t="n">
        <v>33</v>
      </c>
      <c r="J29" s="19" t="n">
        <v>10</v>
      </c>
      <c r="K29" s="19" t="n">
        <v>20</v>
      </c>
    </row>
    <row r="30">
      <c r="A30" s="7" t="inlineStr">
        <is>
          <t>胆碱(mg)</t>
        </is>
      </c>
      <c r="B30" s="19" t="n">
        <v>65</v>
      </c>
      <c r="C30" s="19" t="n">
        <v>80</v>
      </c>
      <c r="D30" s="19" t="n">
        <v>65</v>
      </c>
      <c r="E30" s="19" t="n">
        <v>150</v>
      </c>
      <c r="F30" s="19" t="n">
        <v>293</v>
      </c>
      <c r="G30" s="19" t="n">
        <v>290</v>
      </c>
      <c r="H30" s="19" t="n">
        <v>333</v>
      </c>
      <c r="I30" s="19" t="n">
        <v>65</v>
      </c>
      <c r="J30" s="19" t="n">
        <v>46</v>
      </c>
      <c r="K30" s="19" t="n">
        <v>64</v>
      </c>
    </row>
    <row r="31">
      <c r="A31" s="7" t="inlineStr">
        <is>
          <t>叶酸(mcg)</t>
        </is>
      </c>
      <c r="B31" s="19" t="n">
        <v>6</v>
      </c>
      <c r="C31" s="19" t="n">
        <v>1</v>
      </c>
      <c r="D31" s="19" t="n">
        <v>72</v>
      </c>
      <c r="E31" s="19" t="n">
        <v>3</v>
      </c>
      <c r="F31" s="19" t="n">
        <v>47</v>
      </c>
      <c r="G31" s="19" t="n">
        <v>588</v>
      </c>
      <c r="H31" s="19" t="n">
        <v>290</v>
      </c>
      <c r="I31" s="19" t="n">
        <v>2</v>
      </c>
      <c r="J31" s="19" t="n">
        <v>1</v>
      </c>
      <c r="K31" s="19" t="n">
        <v>25</v>
      </c>
    </row>
    <row r="32">
      <c r="A32" s="7" t="inlineStr">
        <is>
          <t>泛酸(mg)</t>
        </is>
      </c>
      <c r="B32" s="19" t="n">
        <v>1.01</v>
      </c>
      <c r="C32" s="19" t="n">
        <v>0.6</v>
      </c>
      <c r="D32" s="19" t="n">
        <v>2.51</v>
      </c>
      <c r="E32" s="19" t="n">
        <v>2.25</v>
      </c>
      <c r="F32" s="19" t="n">
        <v>1.53</v>
      </c>
      <c r="G32" s="19" t="n">
        <v>6.5</v>
      </c>
      <c r="H32" s="19" t="n">
        <v>7.17</v>
      </c>
      <c r="I32" s="19" t="n">
        <v>0.42</v>
      </c>
      <c r="J32" s="19" t="n">
        <v>0.53</v>
      </c>
      <c r="K32" s="19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2026-03-29T13:38:25Z</dcterms:created>
  <dcterms:modified xsi:type="dcterms:W3CDTF">2026-03-29T13:38:26Z</dcterms:modified>
</cp:coreProperties>
</file>